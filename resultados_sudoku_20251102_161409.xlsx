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ti\OneDrive\Desktop\"/>
    </mc:Choice>
  </mc:AlternateContent>
  <xr:revisionPtr revIDLastSave="0" documentId="8_{0F05D62D-5ACF-4FCA-96D9-95146BDF62E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esultados Detallados" sheetId="1" r:id="rId1"/>
    <sheet name="Promedios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4" i="3"/>
  <c r="H3" i="3"/>
  <c r="E4" i="3"/>
  <c r="E3" i="3"/>
  <c r="E2" i="3"/>
  <c r="D4" i="3"/>
  <c r="D3" i="3"/>
  <c r="D2" i="3"/>
  <c r="C4" i="3"/>
  <c r="C3" i="3"/>
  <c r="C2" i="3"/>
  <c r="B4" i="3"/>
  <c r="B3" i="3"/>
  <c r="B2" i="3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</calcChain>
</file>

<file path=xl/sharedStrings.xml><?xml version="1.0" encoding="utf-8"?>
<sst xmlns="http://schemas.openxmlformats.org/spreadsheetml/2006/main" count="1253" uniqueCount="27">
  <si>
    <t>Dificultad</t>
  </si>
  <si>
    <t>Implementación</t>
  </si>
  <si>
    <t>Test</t>
  </si>
  <si>
    <t>Tiempo (s)</t>
  </si>
  <si>
    <t>Nodos</t>
  </si>
  <si>
    <t>easy</t>
  </si>
  <si>
    <t>backtracking</t>
  </si>
  <si>
    <t>branch_and_bound</t>
  </si>
  <si>
    <t>medium</t>
  </si>
  <si>
    <t>hard</t>
  </si>
  <si>
    <t>Tiempo Promedio (s)</t>
  </si>
  <si>
    <t>Nodos Promedio</t>
  </si>
  <si>
    <t>Tiempo Total (s)</t>
  </si>
  <si>
    <t>Nodos Totales</t>
  </si>
  <si>
    <t>Implementacion</t>
  </si>
  <si>
    <t>Tiempo promedio (s)</t>
  </si>
  <si>
    <t>Promedio de Nodos</t>
  </si>
  <si>
    <t>Backtracking</t>
  </si>
  <si>
    <t>Easy</t>
  </si>
  <si>
    <t>Medium</t>
  </si>
  <si>
    <t>Hard</t>
  </si>
  <si>
    <t>Branch &amp; Bound</t>
  </si>
  <si>
    <t xml:space="preserve"> Tiempo PromedioBranch and Bound (s)</t>
  </si>
  <si>
    <t>Tiempo Promedio Backtracking (s)</t>
  </si>
  <si>
    <t>multiplicador de nodos</t>
  </si>
  <si>
    <t xml:space="preserve">Promedio de nodos en Backtracking 
</t>
  </si>
  <si>
    <t>Promedio de nodos en Branch and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</si>
</sst>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Comparación de tiempo promedio por dificultad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Tiempo Promedio Backtracking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2.2370576858520507E-4</c:v>
                </c:pt>
                <c:pt idx="1">
                  <c:v>1.7642140388488769E-3</c:v>
                </c:pt>
                <c:pt idx="2">
                  <c:v>7.7315111160278324E-2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5-4125-A9D6-6900746352F1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 Tiempo PromedioBranch and Bound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Hoja1!$C$2:$C$4</c:f>
              <c:numCache>
                <c:formatCode>General</c:formatCode>
                <c:ptCount val="3"/>
                <c:pt idx="0">
                  <c:v>1.4862370491027831E-3</c:v>
                </c:pt>
                <c:pt idx="1">
                  <c:v>3.374035358428955E-3</c:v>
                </c:pt>
                <c:pt idx="2">
                  <c:v>1.4410305023193359E-2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5-4125-A9D6-690074635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448351"/>
        <c:axId val="736461791"/>
      </c:barChart>
      <c:catAx>
        <c:axId val="7364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61791"/>
        <c:crosses val="autoZero"/>
        <c:auto val="1"/>
        <c:lblAlgn val="ctr"/>
        <c:lblOffset val="100"/>
        <c:noMultiLvlLbl val="0"/>
      </c:catAx>
      <c:valAx>
        <c:axId val="73646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Tendencia del tiempo según dificultad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Tiempo Promedio Backtracking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2.2370576858520507E-4</c:v>
                </c:pt>
                <c:pt idx="1">
                  <c:v>1.7642140388488769E-3</c:v>
                </c:pt>
                <c:pt idx="2">
                  <c:v>7.7315111160278324E-2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4-4DE0-8CD8-2A6746CA2E66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 Tiempo PromedioBranch and Bound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Hoja1!$C$2:$C$4</c:f>
              <c:numCache>
                <c:formatCode>General</c:formatCode>
                <c:ptCount val="3"/>
                <c:pt idx="0">
                  <c:v>1.4862370491027831E-3</c:v>
                </c:pt>
                <c:pt idx="1">
                  <c:v>3.374035358428955E-3</c:v>
                </c:pt>
                <c:pt idx="2">
                  <c:v>1.4410305023193359E-2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4-4DE0-8CD8-2A6746CA2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452191"/>
        <c:axId val="736452671"/>
      </c:lineChart>
      <c:catAx>
        <c:axId val="73645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52671"/>
        <c:crosses val="autoZero"/>
        <c:auto val="1"/>
        <c:lblAlgn val="ctr"/>
        <c:lblOffset val="100"/>
        <c:noMultiLvlLbl val="0"/>
      </c:catAx>
      <c:valAx>
        <c:axId val="73645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5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Tendencia</a:t>
            </a:r>
            <a:r>
              <a:rPr lang="es-AR" baseline="0"/>
              <a:t> de nodos según dificultad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Promedio de nodos en Backtracking 
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Hoja1!$D$2:$D$4</c:f>
              <c:numCache>
                <c:formatCode>General</c:formatCode>
                <c:ptCount val="3"/>
                <c:pt idx="0">
                  <c:v>172.86</c:v>
                </c:pt>
                <c:pt idx="1">
                  <c:v>1415.91</c:v>
                </c:pt>
                <c:pt idx="2">
                  <c:v>63741.25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6-4F96-A8A4-D06291E8EA34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Promedio de nodos en Branch and 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Hoja1!$A$2:$A$4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Hoja1!$E$2:$E$4</c:f>
              <c:numCache>
                <c:formatCode>General</c:formatCode>
                <c:ptCount val="3"/>
                <c:pt idx="0">
                  <c:v>27.59</c:v>
                </c:pt>
                <c:pt idx="1">
                  <c:v>47.23</c:v>
                </c:pt>
                <c:pt idx="2">
                  <c:v>146.19999999999999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6-4F96-A8A4-D06291E8E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492991"/>
        <c:axId val="736492511"/>
      </c:lineChart>
      <c:catAx>
        <c:axId val="7364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92511"/>
        <c:crosses val="autoZero"/>
        <c:auto val="1"/>
        <c:lblAlgn val="ctr"/>
        <c:lblOffset val="100"/>
        <c:noMultiLvlLbl val="0"/>
      </c:catAx>
      <c:valAx>
        <c:axId val="73649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64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966085</xdr:colOff>
      <xdr:row>8</xdr:row>
      <xdr:rowOff>90447</xdr:rowOff>
    </xdr:from>
    <xdr:to>
      <xdr:col>5</xdr:col>
      <xdr:colOff>507485</xdr:colOff>
      <xdr:row>23</xdr:row>
      <xdr:rowOff>119023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400948-B85C-31D5-CA56-F1192E48E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254933</xdr:colOff>
      <xdr:row>8</xdr:row>
      <xdr:rowOff>3921</xdr:rowOff>
    </xdr:from>
    <xdr:to>
      <xdr:col>13</xdr:col>
      <xdr:colOff>254933</xdr:colOff>
      <xdr:row>23</xdr:row>
      <xdr:rowOff>57710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EA8877-CA1E-2C29-D7FB-5743BBA0D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277345</xdr:colOff>
      <xdr:row>24</xdr:row>
      <xdr:rowOff>76759</xdr:rowOff>
    </xdr:from>
    <xdr:to>
      <xdr:col>13</xdr:col>
      <xdr:colOff>277345</xdr:colOff>
      <xdr:row>39</xdr:row>
      <xdr:rowOff>130548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D049F3-5405-F650-5F81-DE5F9FDFA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workbookViewId="0">
      <selection activeCell="K12" sqref="K12"/>
    </sheetView>
  </sheetViews>
  <sheetFormatPr baseColWidth="10" defaultColWidth="9.06640625" defaultRowHeight="14.25" x14ac:dyDescent="0.45"/>
  <cols>
    <col min="9" max="9" width="14.265625" customWidth="1"/>
    <col min="10" max="10" width="12" customWidth="1"/>
    <col min="11" max="11" width="11.53125" customWidth="1"/>
    <col min="12" max="12" width="17.9296875" customWidth="1"/>
    <col min="13" max="13" width="17.19921875" customWidth="1"/>
    <col min="14" max="14" width="13.2656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x14ac:dyDescent="0.45">
      <c r="A2" t="s">
        <v>5</v>
      </c>
      <c r="B2" t="s">
        <v>6</v>
      </c>
      <c r="C2">
        <v>1</v>
      </c>
      <c r="D2">
        <v>2.55584716796875E-4</v>
      </c>
      <c r="E2">
        <v>156</v>
      </c>
    </row>
    <row r="3" spans="1:14" x14ac:dyDescent="0.45">
      <c r="A3" t="s">
        <v>5</v>
      </c>
      <c r="B3" t="s">
        <v>6</v>
      </c>
      <c r="C3">
        <v>2</v>
      </c>
      <c r="D3">
        <v>2.7680397033691412E-4</v>
      </c>
      <c r="E3">
        <v>176</v>
      </c>
      <c r="I3" s="2" t="s">
        <v>14</v>
      </c>
      <c r="J3" s="2" t="s">
        <v>0</v>
      </c>
      <c r="K3" s="2" t="s">
        <v>15</v>
      </c>
      <c r="L3" s="2" t="s">
        <v>16</v>
      </c>
      <c r="M3" s="2" t="s">
        <v>12</v>
      </c>
      <c r="N3" s="2" t="s">
        <v>13</v>
      </c>
    </row>
    <row r="4" spans="1:14" x14ac:dyDescent="0.45">
      <c r="A4" t="s">
        <v>5</v>
      </c>
      <c r="B4" t="s">
        <v>6</v>
      </c>
      <c r="C4">
        <v>3</v>
      </c>
      <c r="D4">
        <v>2.5892257690429688E-4</v>
      </c>
      <c r="E4">
        <v>164</v>
      </c>
      <c r="I4" s="3" t="s">
        <v>17</v>
      </c>
      <c r="J4" s="3" t="s">
        <v>18</v>
      </c>
      <c r="K4" s="3">
        <f>AVERAGEIFS(D:D,A:A,"easy",B:B,"backtracking")</f>
        <v>2.2370576858520507E-4</v>
      </c>
      <c r="L4" s="3">
        <f>AVERAGEIFS(E:E,A:A,"easy",B:B,"backtracking")</f>
        <v>172.86</v>
      </c>
      <c r="M4" s="3">
        <f>SUMIFS(D:D,A:A,"easy",B:B,"backtracking")</f>
        <v>2.2370576858520508E-2</v>
      </c>
      <c r="N4" s="3">
        <f>SUMIFS(E:E,A:A,"easy",B:B,"backtracking")</f>
        <v>17286</v>
      </c>
    </row>
    <row r="5" spans="1:14" x14ac:dyDescent="0.45">
      <c r="A5" t="s">
        <v>5</v>
      </c>
      <c r="B5" t="s">
        <v>6</v>
      </c>
      <c r="C5">
        <v>4</v>
      </c>
      <c r="D5">
        <v>2.1672248840332031E-4</v>
      </c>
      <c r="E5">
        <v>162</v>
      </c>
      <c r="I5" s="3" t="s">
        <v>17</v>
      </c>
      <c r="J5" s="3" t="s">
        <v>19</v>
      </c>
      <c r="K5" s="3">
        <f>AVERAGEIFS(D:D,A:A,"medium",B:B,"backtracking")</f>
        <v>1.7642140388488769E-3</v>
      </c>
      <c r="L5" s="3">
        <f>AVERAGEIFS(E:E,A:A,"medium",B:B,"backtracking")</f>
        <v>1415.91</v>
      </c>
      <c r="M5" s="3">
        <f>SUMIFS(D:D,A:A,"medium",B:B,"backtracking")</f>
        <v>0.1764214038848877</v>
      </c>
      <c r="N5" s="3">
        <f>SUMIFS(E:E,A:A,"medium",B:B,"backtracking")</f>
        <v>141591</v>
      </c>
    </row>
    <row r="6" spans="1:14" x14ac:dyDescent="0.45">
      <c r="A6" t="s">
        <v>5</v>
      </c>
      <c r="B6" t="s">
        <v>6</v>
      </c>
      <c r="C6">
        <v>5</v>
      </c>
      <c r="D6">
        <v>1.797676086425781E-4</v>
      </c>
      <c r="E6">
        <v>141</v>
      </c>
      <c r="I6" s="3" t="s">
        <v>17</v>
      </c>
      <c r="J6" s="3" t="s">
        <v>20</v>
      </c>
      <c r="K6" s="3">
        <f>AVERAGEIFS(D:D,A:A,"hard",B:B,"backtracking")</f>
        <v>7.7315111160278324E-2</v>
      </c>
      <c r="L6" s="3">
        <f>AVERAGEIFS(E:E,A:A,"hard",B:B,"backtracking")</f>
        <v>63741.25</v>
      </c>
      <c r="M6" s="3">
        <f>SUMIFS(D:D,A:A,"hard",B:B,"backtracking")</f>
        <v>7.731511116027832</v>
      </c>
      <c r="N6" s="3">
        <f>SUMIFS(E:E,A:A,"hard",B:B,"backtracking")</f>
        <v>6374125</v>
      </c>
    </row>
    <row r="7" spans="1:14" x14ac:dyDescent="0.45">
      <c r="A7" t="s">
        <v>5</v>
      </c>
      <c r="B7" t="s">
        <v>6</v>
      </c>
      <c r="C7">
        <v>6</v>
      </c>
      <c r="D7">
        <v>1.9574165344238281E-4</v>
      </c>
      <c r="E7">
        <v>139</v>
      </c>
      <c r="I7" s="3" t="s">
        <v>21</v>
      </c>
      <c r="J7" s="3" t="s">
        <v>18</v>
      </c>
      <c r="K7" s="3">
        <f>AVERAGEIFS(D:D,A:A,"easy",B:B,"branch_and_bound")</f>
        <v>1.4862370491027831E-3</v>
      </c>
      <c r="L7" s="3">
        <f>AVERAGEIFS(E:E,A:A,"easy",B:B,"branch_and_bound")</f>
        <v>27.59</v>
      </c>
      <c r="M7" s="3">
        <f>SUMIFS(D:D,A:A,"easy",B:B,"branch_and_bound")</f>
        <v>0.14862370491027832</v>
      </c>
      <c r="N7" s="3">
        <f>SUMIFS(E:E,A:A,"easy",B:B,"branch_and_bound")</f>
        <v>2759</v>
      </c>
    </row>
    <row r="8" spans="1:14" x14ac:dyDescent="0.45">
      <c r="A8" t="s">
        <v>5</v>
      </c>
      <c r="B8" t="s">
        <v>6</v>
      </c>
      <c r="C8">
        <v>7</v>
      </c>
      <c r="D8">
        <v>3.3617019653320313E-4</v>
      </c>
      <c r="E8">
        <v>285</v>
      </c>
      <c r="I8" s="3" t="s">
        <v>21</v>
      </c>
      <c r="J8" s="3" t="s">
        <v>19</v>
      </c>
      <c r="K8" s="3">
        <f>AVERAGEIFS(D:D,A:A,"medium",B:B,"branch_and_bound")</f>
        <v>3.374035358428955E-3</v>
      </c>
      <c r="L8" s="3">
        <f>AVERAGEIFS(E:E,A:A,"medium",B:B,"branch_and_bound")</f>
        <v>47.23</v>
      </c>
      <c r="M8" s="3">
        <f>SUMIFS(D:D,A:A,"medium",B:B,"branch_and_bound")</f>
        <v>0.33740353584289551</v>
      </c>
      <c r="N8" s="3">
        <f>SUMIFS(E:E,A:A,"medium",B:B,"branch_and_bound")</f>
        <v>4723</v>
      </c>
    </row>
    <row r="9" spans="1:14" x14ac:dyDescent="0.45">
      <c r="A9" t="s">
        <v>5</v>
      </c>
      <c r="B9" t="s">
        <v>6</v>
      </c>
      <c r="C9">
        <v>8</v>
      </c>
      <c r="D9">
        <v>1.463890075683594E-4</v>
      </c>
      <c r="E9">
        <v>118</v>
      </c>
      <c r="I9" s="3" t="s">
        <v>21</v>
      </c>
      <c r="J9" s="3" t="s">
        <v>20</v>
      </c>
      <c r="K9" s="3">
        <f>AVERAGEIFS(D:D,A:A,"hard",B:B,"branch_and_bound")</f>
        <v>1.4410305023193359E-2</v>
      </c>
      <c r="L9" s="3">
        <f>AVERAGEIFS(E:E,A:A,"hard",B:B,"branch_and_bound")</f>
        <v>146.19999999999999</v>
      </c>
      <c r="M9" s="3">
        <f>SUMIFS(D:D,A:A,"hard",B:B,"branch_and_bound")</f>
        <v>1.4410305023193359</v>
      </c>
      <c r="N9" s="3">
        <f>SUMIFS(E:E,A:A,"hard",B:B,"branch_and_bound")</f>
        <v>14620</v>
      </c>
    </row>
    <row r="10" spans="1:14" x14ac:dyDescent="0.45">
      <c r="A10" t="s">
        <v>5</v>
      </c>
      <c r="B10" t="s">
        <v>6</v>
      </c>
      <c r="C10">
        <v>9</v>
      </c>
      <c r="D10">
        <v>1.8954277038574219E-4</v>
      </c>
      <c r="E10">
        <v>151</v>
      </c>
    </row>
    <row r="11" spans="1:14" x14ac:dyDescent="0.45">
      <c r="A11" t="s">
        <v>5</v>
      </c>
      <c r="B11" t="s">
        <v>6</v>
      </c>
      <c r="C11">
        <v>10</v>
      </c>
      <c r="D11">
        <v>2.408027648925781E-4</v>
      </c>
      <c r="E11">
        <v>192</v>
      </c>
    </row>
    <row r="12" spans="1:14" x14ac:dyDescent="0.45">
      <c r="A12" t="s">
        <v>5</v>
      </c>
      <c r="B12" t="s">
        <v>6</v>
      </c>
      <c r="C12">
        <v>11</v>
      </c>
      <c r="D12">
        <v>1.139640808105469E-4</v>
      </c>
      <c r="E12">
        <v>86</v>
      </c>
    </row>
    <row r="13" spans="1:14" x14ac:dyDescent="0.45">
      <c r="A13" t="s">
        <v>5</v>
      </c>
      <c r="B13" t="s">
        <v>6</v>
      </c>
      <c r="C13">
        <v>12</v>
      </c>
      <c r="D13">
        <v>1.7952919006347659E-4</v>
      </c>
      <c r="E13">
        <v>134</v>
      </c>
    </row>
    <row r="14" spans="1:14" x14ac:dyDescent="0.45">
      <c r="A14" t="s">
        <v>5</v>
      </c>
      <c r="B14" t="s">
        <v>6</v>
      </c>
      <c r="C14">
        <v>13</v>
      </c>
      <c r="D14">
        <v>2.8467178344726563E-4</v>
      </c>
      <c r="E14">
        <v>236</v>
      </c>
    </row>
    <row r="15" spans="1:14" x14ac:dyDescent="0.45">
      <c r="A15" t="s">
        <v>5</v>
      </c>
      <c r="B15" t="s">
        <v>6</v>
      </c>
      <c r="C15">
        <v>14</v>
      </c>
      <c r="D15">
        <v>1.783370971679688E-4</v>
      </c>
      <c r="E15">
        <v>144</v>
      </c>
    </row>
    <row r="16" spans="1:14" x14ac:dyDescent="0.45">
      <c r="A16" t="s">
        <v>5</v>
      </c>
      <c r="B16" t="s">
        <v>6</v>
      </c>
      <c r="C16">
        <v>15</v>
      </c>
      <c r="D16">
        <v>1.86920166015625E-4</v>
      </c>
      <c r="E16">
        <v>138</v>
      </c>
    </row>
    <row r="17" spans="1:5" x14ac:dyDescent="0.45">
      <c r="A17" t="s">
        <v>5</v>
      </c>
      <c r="B17" t="s">
        <v>6</v>
      </c>
      <c r="C17">
        <v>16</v>
      </c>
      <c r="D17">
        <v>1.9478797912597659E-4</v>
      </c>
      <c r="E17">
        <v>167</v>
      </c>
    </row>
    <row r="18" spans="1:5" x14ac:dyDescent="0.45">
      <c r="A18" t="s">
        <v>5</v>
      </c>
      <c r="B18" t="s">
        <v>6</v>
      </c>
      <c r="C18">
        <v>17</v>
      </c>
      <c r="D18">
        <v>3.8027763366699219E-4</v>
      </c>
      <c r="E18">
        <v>194</v>
      </c>
    </row>
    <row r="19" spans="1:5" x14ac:dyDescent="0.45">
      <c r="A19" t="s">
        <v>5</v>
      </c>
      <c r="B19" t="s">
        <v>6</v>
      </c>
      <c r="C19">
        <v>18</v>
      </c>
      <c r="D19">
        <v>2.1862983703613281E-4</v>
      </c>
      <c r="E19">
        <v>171</v>
      </c>
    </row>
    <row r="20" spans="1:5" x14ac:dyDescent="0.45">
      <c r="A20" t="s">
        <v>5</v>
      </c>
      <c r="B20" t="s">
        <v>6</v>
      </c>
      <c r="C20">
        <v>19</v>
      </c>
      <c r="D20">
        <v>2.264976501464844E-4</v>
      </c>
      <c r="E20">
        <v>138</v>
      </c>
    </row>
    <row r="21" spans="1:5" x14ac:dyDescent="0.45">
      <c r="A21" t="s">
        <v>5</v>
      </c>
      <c r="B21" t="s">
        <v>6</v>
      </c>
      <c r="C21">
        <v>20</v>
      </c>
      <c r="D21">
        <v>1.2803077697753909E-4</v>
      </c>
      <c r="E21">
        <v>91</v>
      </c>
    </row>
    <row r="22" spans="1:5" x14ac:dyDescent="0.45">
      <c r="A22" t="s">
        <v>5</v>
      </c>
      <c r="B22" t="s">
        <v>6</v>
      </c>
      <c r="C22">
        <v>21</v>
      </c>
      <c r="D22">
        <v>2.6154518127441412E-4</v>
      </c>
      <c r="E22">
        <v>185</v>
      </c>
    </row>
    <row r="23" spans="1:5" x14ac:dyDescent="0.45">
      <c r="A23" t="s">
        <v>5</v>
      </c>
      <c r="B23" t="s">
        <v>6</v>
      </c>
      <c r="C23">
        <v>22</v>
      </c>
      <c r="D23">
        <v>1.9669532775878909E-4</v>
      </c>
      <c r="E23">
        <v>149</v>
      </c>
    </row>
    <row r="24" spans="1:5" x14ac:dyDescent="0.45">
      <c r="A24" t="s">
        <v>5</v>
      </c>
      <c r="B24" t="s">
        <v>6</v>
      </c>
      <c r="C24">
        <v>23</v>
      </c>
      <c r="D24">
        <v>1.459121704101562E-4</v>
      </c>
      <c r="E24">
        <v>109</v>
      </c>
    </row>
    <row r="25" spans="1:5" x14ac:dyDescent="0.45">
      <c r="A25" t="s">
        <v>5</v>
      </c>
      <c r="B25" t="s">
        <v>6</v>
      </c>
      <c r="C25">
        <v>24</v>
      </c>
      <c r="D25">
        <v>7.3909759521484375E-4</v>
      </c>
      <c r="E25">
        <v>602</v>
      </c>
    </row>
    <row r="26" spans="1:5" x14ac:dyDescent="0.45">
      <c r="A26" t="s">
        <v>5</v>
      </c>
      <c r="B26" t="s">
        <v>6</v>
      </c>
      <c r="C26">
        <v>25</v>
      </c>
      <c r="D26">
        <v>1.4662742614746091E-4</v>
      </c>
      <c r="E26">
        <v>115</v>
      </c>
    </row>
    <row r="27" spans="1:5" x14ac:dyDescent="0.45">
      <c r="A27" t="s">
        <v>5</v>
      </c>
      <c r="B27" t="s">
        <v>6</v>
      </c>
      <c r="C27">
        <v>26</v>
      </c>
      <c r="D27">
        <v>2.336502075195312E-4</v>
      </c>
      <c r="E27">
        <v>170</v>
      </c>
    </row>
    <row r="28" spans="1:5" x14ac:dyDescent="0.45">
      <c r="A28" t="s">
        <v>5</v>
      </c>
      <c r="B28" t="s">
        <v>6</v>
      </c>
      <c r="C28">
        <v>27</v>
      </c>
      <c r="D28">
        <v>1.626014709472656E-4</v>
      </c>
      <c r="E28">
        <v>130</v>
      </c>
    </row>
    <row r="29" spans="1:5" x14ac:dyDescent="0.45">
      <c r="A29" t="s">
        <v>5</v>
      </c>
      <c r="B29" t="s">
        <v>6</v>
      </c>
      <c r="C29">
        <v>28</v>
      </c>
      <c r="D29">
        <v>3.2639503479003912E-4</v>
      </c>
      <c r="E29">
        <v>199</v>
      </c>
    </row>
    <row r="30" spans="1:5" x14ac:dyDescent="0.45">
      <c r="A30" t="s">
        <v>5</v>
      </c>
      <c r="B30" t="s">
        <v>6</v>
      </c>
      <c r="C30">
        <v>29</v>
      </c>
      <c r="D30">
        <v>1.2469291687011719E-4</v>
      </c>
      <c r="E30">
        <v>92</v>
      </c>
    </row>
    <row r="31" spans="1:5" x14ac:dyDescent="0.45">
      <c r="A31" t="s">
        <v>5</v>
      </c>
      <c r="B31" t="s">
        <v>6</v>
      </c>
      <c r="C31">
        <v>30</v>
      </c>
      <c r="D31">
        <v>2.274513244628906E-4</v>
      </c>
      <c r="E31">
        <v>197</v>
      </c>
    </row>
    <row r="32" spans="1:5" x14ac:dyDescent="0.45">
      <c r="A32" t="s">
        <v>5</v>
      </c>
      <c r="B32" t="s">
        <v>6</v>
      </c>
      <c r="C32">
        <v>31</v>
      </c>
      <c r="D32">
        <v>2.0384788513183591E-4</v>
      </c>
      <c r="E32">
        <v>160</v>
      </c>
    </row>
    <row r="33" spans="1:5" x14ac:dyDescent="0.45">
      <c r="A33" t="s">
        <v>5</v>
      </c>
      <c r="B33" t="s">
        <v>6</v>
      </c>
      <c r="C33">
        <v>32</v>
      </c>
      <c r="D33">
        <v>1.459121704101562E-4</v>
      </c>
      <c r="E33">
        <v>110</v>
      </c>
    </row>
    <row r="34" spans="1:5" x14ac:dyDescent="0.45">
      <c r="A34" t="s">
        <v>5</v>
      </c>
      <c r="B34" t="s">
        <v>6</v>
      </c>
      <c r="C34">
        <v>33</v>
      </c>
      <c r="D34">
        <v>3.6644935607910162E-4</v>
      </c>
      <c r="E34">
        <v>305</v>
      </c>
    </row>
    <row r="35" spans="1:5" x14ac:dyDescent="0.45">
      <c r="A35" t="s">
        <v>5</v>
      </c>
      <c r="B35" t="s">
        <v>6</v>
      </c>
      <c r="C35">
        <v>34</v>
      </c>
      <c r="D35">
        <v>1.6665458679199219E-4</v>
      </c>
      <c r="E35">
        <v>120</v>
      </c>
    </row>
    <row r="36" spans="1:5" x14ac:dyDescent="0.45">
      <c r="A36" t="s">
        <v>5</v>
      </c>
      <c r="B36" t="s">
        <v>6</v>
      </c>
      <c r="C36">
        <v>35</v>
      </c>
      <c r="D36">
        <v>1.482963562011719E-4</v>
      </c>
      <c r="E36">
        <v>119</v>
      </c>
    </row>
    <row r="37" spans="1:5" x14ac:dyDescent="0.45">
      <c r="A37" t="s">
        <v>5</v>
      </c>
      <c r="B37" t="s">
        <v>6</v>
      </c>
      <c r="C37">
        <v>36</v>
      </c>
      <c r="D37">
        <v>1.8477439880371091E-4</v>
      </c>
      <c r="E37">
        <v>144</v>
      </c>
    </row>
    <row r="38" spans="1:5" x14ac:dyDescent="0.45">
      <c r="A38" t="s">
        <v>5</v>
      </c>
      <c r="B38" t="s">
        <v>6</v>
      </c>
      <c r="C38">
        <v>37</v>
      </c>
      <c r="D38">
        <v>1.463890075683594E-4</v>
      </c>
      <c r="E38">
        <v>113</v>
      </c>
    </row>
    <row r="39" spans="1:5" x14ac:dyDescent="0.45">
      <c r="A39" t="s">
        <v>5</v>
      </c>
      <c r="B39" t="s">
        <v>6</v>
      </c>
      <c r="C39">
        <v>38</v>
      </c>
      <c r="D39">
        <v>1.192092895507812E-4</v>
      </c>
      <c r="E39">
        <v>89</v>
      </c>
    </row>
    <row r="40" spans="1:5" x14ac:dyDescent="0.45">
      <c r="A40" t="s">
        <v>5</v>
      </c>
      <c r="B40" t="s">
        <v>6</v>
      </c>
      <c r="C40">
        <v>39</v>
      </c>
      <c r="D40">
        <v>1.707077026367188E-4</v>
      </c>
      <c r="E40">
        <v>138</v>
      </c>
    </row>
    <row r="41" spans="1:5" x14ac:dyDescent="0.45">
      <c r="A41" t="s">
        <v>5</v>
      </c>
      <c r="B41" t="s">
        <v>6</v>
      </c>
      <c r="C41">
        <v>40</v>
      </c>
      <c r="D41">
        <v>1.8095970153808591E-4</v>
      </c>
      <c r="E41">
        <v>138</v>
      </c>
    </row>
    <row r="42" spans="1:5" x14ac:dyDescent="0.45">
      <c r="A42" t="s">
        <v>5</v>
      </c>
      <c r="B42" t="s">
        <v>6</v>
      </c>
      <c r="C42">
        <v>41</v>
      </c>
      <c r="D42">
        <v>3.9935111999511719E-4</v>
      </c>
      <c r="E42">
        <v>334</v>
      </c>
    </row>
    <row r="43" spans="1:5" x14ac:dyDescent="0.45">
      <c r="A43" t="s">
        <v>5</v>
      </c>
      <c r="B43" t="s">
        <v>6</v>
      </c>
      <c r="C43">
        <v>42</v>
      </c>
      <c r="D43">
        <v>1.3422966003417969E-4</v>
      </c>
      <c r="E43">
        <v>101</v>
      </c>
    </row>
    <row r="44" spans="1:5" x14ac:dyDescent="0.45">
      <c r="A44" t="s">
        <v>5</v>
      </c>
      <c r="B44" t="s">
        <v>6</v>
      </c>
      <c r="C44">
        <v>43</v>
      </c>
      <c r="D44">
        <v>2.4580955505371088E-4</v>
      </c>
      <c r="E44">
        <v>139</v>
      </c>
    </row>
    <row r="45" spans="1:5" x14ac:dyDescent="0.45">
      <c r="A45" t="s">
        <v>5</v>
      </c>
      <c r="B45" t="s">
        <v>6</v>
      </c>
      <c r="C45">
        <v>44</v>
      </c>
      <c r="D45">
        <v>5.7625770568847656E-4</v>
      </c>
      <c r="E45">
        <v>409</v>
      </c>
    </row>
    <row r="46" spans="1:5" x14ac:dyDescent="0.45">
      <c r="A46" t="s">
        <v>5</v>
      </c>
      <c r="B46" t="s">
        <v>6</v>
      </c>
      <c r="C46">
        <v>45</v>
      </c>
      <c r="D46">
        <v>2.360343933105469E-4</v>
      </c>
      <c r="E46">
        <v>182</v>
      </c>
    </row>
    <row r="47" spans="1:5" x14ac:dyDescent="0.45">
      <c r="A47" t="s">
        <v>5</v>
      </c>
      <c r="B47" t="s">
        <v>6</v>
      </c>
      <c r="C47">
        <v>46</v>
      </c>
      <c r="D47">
        <v>1.888275146484375E-4</v>
      </c>
      <c r="E47">
        <v>148</v>
      </c>
    </row>
    <row r="48" spans="1:5" x14ac:dyDescent="0.45">
      <c r="A48" t="s">
        <v>5</v>
      </c>
      <c r="B48" t="s">
        <v>6</v>
      </c>
      <c r="C48">
        <v>47</v>
      </c>
      <c r="D48">
        <v>1.478195190429688E-4</v>
      </c>
      <c r="E48">
        <v>122</v>
      </c>
    </row>
    <row r="49" spans="1:5" x14ac:dyDescent="0.45">
      <c r="A49" t="s">
        <v>5</v>
      </c>
      <c r="B49" t="s">
        <v>6</v>
      </c>
      <c r="C49">
        <v>48</v>
      </c>
      <c r="D49">
        <v>4.8470497131347662E-4</v>
      </c>
      <c r="E49">
        <v>400</v>
      </c>
    </row>
    <row r="50" spans="1:5" x14ac:dyDescent="0.45">
      <c r="A50" t="s">
        <v>5</v>
      </c>
      <c r="B50" t="s">
        <v>6</v>
      </c>
      <c r="C50">
        <v>49</v>
      </c>
      <c r="D50">
        <v>1.912117004394531E-4</v>
      </c>
      <c r="E50">
        <v>143</v>
      </c>
    </row>
    <row r="51" spans="1:5" x14ac:dyDescent="0.45">
      <c r="A51" t="s">
        <v>5</v>
      </c>
      <c r="B51" t="s">
        <v>6</v>
      </c>
      <c r="C51">
        <v>50</v>
      </c>
      <c r="D51">
        <v>2.2625923156738281E-4</v>
      </c>
      <c r="E51">
        <v>189</v>
      </c>
    </row>
    <row r="52" spans="1:5" x14ac:dyDescent="0.45">
      <c r="A52" t="s">
        <v>5</v>
      </c>
      <c r="B52" t="s">
        <v>6</v>
      </c>
      <c r="C52">
        <v>51</v>
      </c>
      <c r="D52">
        <v>1.3613700866699219E-4</v>
      </c>
      <c r="E52">
        <v>104</v>
      </c>
    </row>
    <row r="53" spans="1:5" x14ac:dyDescent="0.45">
      <c r="A53" t="s">
        <v>5</v>
      </c>
      <c r="B53" t="s">
        <v>6</v>
      </c>
      <c r="C53">
        <v>52</v>
      </c>
      <c r="D53">
        <v>1.4710426330566409E-4</v>
      </c>
      <c r="E53">
        <v>104</v>
      </c>
    </row>
    <row r="54" spans="1:5" x14ac:dyDescent="0.45">
      <c r="A54" t="s">
        <v>5</v>
      </c>
      <c r="B54" t="s">
        <v>6</v>
      </c>
      <c r="C54">
        <v>53</v>
      </c>
      <c r="D54">
        <v>1.897811889648438E-4</v>
      </c>
      <c r="E54">
        <v>159</v>
      </c>
    </row>
    <row r="55" spans="1:5" x14ac:dyDescent="0.45">
      <c r="A55" t="s">
        <v>5</v>
      </c>
      <c r="B55" t="s">
        <v>6</v>
      </c>
      <c r="C55">
        <v>54</v>
      </c>
      <c r="D55">
        <v>2.188682556152344E-4</v>
      </c>
      <c r="E55">
        <v>182</v>
      </c>
    </row>
    <row r="56" spans="1:5" x14ac:dyDescent="0.45">
      <c r="A56" t="s">
        <v>5</v>
      </c>
      <c r="B56" t="s">
        <v>6</v>
      </c>
      <c r="C56">
        <v>55</v>
      </c>
      <c r="D56">
        <v>2.0194053649902341E-4</v>
      </c>
      <c r="E56">
        <v>160</v>
      </c>
    </row>
    <row r="57" spans="1:5" x14ac:dyDescent="0.45">
      <c r="A57" t="s">
        <v>5</v>
      </c>
      <c r="B57" t="s">
        <v>6</v>
      </c>
      <c r="C57">
        <v>56</v>
      </c>
      <c r="D57">
        <v>1.683235168457031E-4</v>
      </c>
      <c r="E57">
        <v>135</v>
      </c>
    </row>
    <row r="58" spans="1:5" x14ac:dyDescent="0.45">
      <c r="A58" t="s">
        <v>5</v>
      </c>
      <c r="B58" t="s">
        <v>6</v>
      </c>
      <c r="C58">
        <v>57</v>
      </c>
      <c r="D58">
        <v>1.8191337585449219E-4</v>
      </c>
      <c r="E58">
        <v>140</v>
      </c>
    </row>
    <row r="59" spans="1:5" x14ac:dyDescent="0.45">
      <c r="A59" t="s">
        <v>5</v>
      </c>
      <c r="B59" t="s">
        <v>6</v>
      </c>
      <c r="C59">
        <v>58</v>
      </c>
      <c r="D59">
        <v>3.337860107421875E-4</v>
      </c>
      <c r="E59">
        <v>273</v>
      </c>
    </row>
    <row r="60" spans="1:5" x14ac:dyDescent="0.45">
      <c r="A60" t="s">
        <v>5</v>
      </c>
      <c r="B60" t="s">
        <v>6</v>
      </c>
      <c r="C60">
        <v>59</v>
      </c>
      <c r="D60">
        <v>1.692771911621094E-4</v>
      </c>
      <c r="E60">
        <v>129</v>
      </c>
    </row>
    <row r="61" spans="1:5" x14ac:dyDescent="0.45">
      <c r="A61" t="s">
        <v>5</v>
      </c>
      <c r="B61" t="s">
        <v>6</v>
      </c>
      <c r="C61">
        <v>60</v>
      </c>
      <c r="D61">
        <v>1.678466796875E-4</v>
      </c>
      <c r="E61">
        <v>133</v>
      </c>
    </row>
    <row r="62" spans="1:5" x14ac:dyDescent="0.45">
      <c r="A62" t="s">
        <v>5</v>
      </c>
      <c r="B62" t="s">
        <v>6</v>
      </c>
      <c r="C62">
        <v>61</v>
      </c>
      <c r="D62">
        <v>1.688003540039062E-4</v>
      </c>
      <c r="E62">
        <v>132</v>
      </c>
    </row>
    <row r="63" spans="1:5" x14ac:dyDescent="0.45">
      <c r="A63" t="s">
        <v>5</v>
      </c>
      <c r="B63" t="s">
        <v>6</v>
      </c>
      <c r="C63">
        <v>62</v>
      </c>
      <c r="D63">
        <v>1.4090538024902341E-4</v>
      </c>
      <c r="E63">
        <v>115</v>
      </c>
    </row>
    <row r="64" spans="1:5" x14ac:dyDescent="0.45">
      <c r="A64" t="s">
        <v>5</v>
      </c>
      <c r="B64" t="s">
        <v>6</v>
      </c>
      <c r="C64">
        <v>63</v>
      </c>
      <c r="D64">
        <v>1.521110534667969E-4</v>
      </c>
      <c r="E64">
        <v>120</v>
      </c>
    </row>
    <row r="65" spans="1:5" x14ac:dyDescent="0.45">
      <c r="A65" t="s">
        <v>5</v>
      </c>
      <c r="B65" t="s">
        <v>6</v>
      </c>
      <c r="C65">
        <v>64</v>
      </c>
      <c r="D65">
        <v>1.56402587890625E-4</v>
      </c>
      <c r="E65">
        <v>126</v>
      </c>
    </row>
    <row r="66" spans="1:5" x14ac:dyDescent="0.45">
      <c r="A66" t="s">
        <v>5</v>
      </c>
      <c r="B66" t="s">
        <v>6</v>
      </c>
      <c r="C66">
        <v>65</v>
      </c>
      <c r="D66">
        <v>2.0623207092285159E-4</v>
      </c>
      <c r="E66">
        <v>159</v>
      </c>
    </row>
    <row r="67" spans="1:5" x14ac:dyDescent="0.45">
      <c r="A67" t="s">
        <v>5</v>
      </c>
      <c r="B67" t="s">
        <v>6</v>
      </c>
      <c r="C67">
        <v>66</v>
      </c>
      <c r="D67">
        <v>2.2196769714355469E-4</v>
      </c>
      <c r="E67">
        <v>182</v>
      </c>
    </row>
    <row r="68" spans="1:5" x14ac:dyDescent="0.45">
      <c r="A68" t="s">
        <v>5</v>
      </c>
      <c r="B68" t="s">
        <v>6</v>
      </c>
      <c r="C68">
        <v>67</v>
      </c>
      <c r="D68">
        <v>1.983642578125E-4</v>
      </c>
      <c r="E68">
        <v>156</v>
      </c>
    </row>
    <row r="69" spans="1:5" x14ac:dyDescent="0.45">
      <c r="A69" t="s">
        <v>5</v>
      </c>
      <c r="B69" t="s">
        <v>6</v>
      </c>
      <c r="C69">
        <v>68</v>
      </c>
      <c r="D69">
        <v>1.749992370605469E-4</v>
      </c>
      <c r="E69">
        <v>139</v>
      </c>
    </row>
    <row r="70" spans="1:5" x14ac:dyDescent="0.45">
      <c r="A70" t="s">
        <v>5</v>
      </c>
      <c r="B70" t="s">
        <v>6</v>
      </c>
      <c r="C70">
        <v>69</v>
      </c>
      <c r="D70">
        <v>1.2707710266113281E-4</v>
      </c>
      <c r="E70">
        <v>102</v>
      </c>
    </row>
    <row r="71" spans="1:5" x14ac:dyDescent="0.45">
      <c r="A71" t="s">
        <v>5</v>
      </c>
      <c r="B71" t="s">
        <v>6</v>
      </c>
      <c r="C71">
        <v>70</v>
      </c>
      <c r="D71">
        <v>2.536773681640625E-4</v>
      </c>
      <c r="E71">
        <v>104</v>
      </c>
    </row>
    <row r="72" spans="1:5" x14ac:dyDescent="0.45">
      <c r="A72" t="s">
        <v>5</v>
      </c>
      <c r="B72" t="s">
        <v>6</v>
      </c>
      <c r="C72">
        <v>71</v>
      </c>
      <c r="D72">
        <v>2.527236938476562E-4</v>
      </c>
      <c r="E72">
        <v>133</v>
      </c>
    </row>
    <row r="73" spans="1:5" x14ac:dyDescent="0.45">
      <c r="A73" t="s">
        <v>5</v>
      </c>
      <c r="B73" t="s">
        <v>6</v>
      </c>
      <c r="C73">
        <v>72</v>
      </c>
      <c r="D73">
        <v>1.893043518066406E-4</v>
      </c>
      <c r="E73">
        <v>151</v>
      </c>
    </row>
    <row r="74" spans="1:5" x14ac:dyDescent="0.45">
      <c r="A74" t="s">
        <v>5</v>
      </c>
      <c r="B74" t="s">
        <v>6</v>
      </c>
      <c r="C74">
        <v>73</v>
      </c>
      <c r="D74">
        <v>2.2959709167480469E-4</v>
      </c>
      <c r="E74">
        <v>181</v>
      </c>
    </row>
    <row r="75" spans="1:5" x14ac:dyDescent="0.45">
      <c r="A75" t="s">
        <v>5</v>
      </c>
      <c r="B75" t="s">
        <v>6</v>
      </c>
      <c r="C75">
        <v>74</v>
      </c>
      <c r="D75">
        <v>1.4758110046386719E-4</v>
      </c>
      <c r="E75">
        <v>108</v>
      </c>
    </row>
    <row r="76" spans="1:5" x14ac:dyDescent="0.45">
      <c r="A76" t="s">
        <v>5</v>
      </c>
      <c r="B76" t="s">
        <v>6</v>
      </c>
      <c r="C76">
        <v>75</v>
      </c>
      <c r="D76">
        <v>2.6059150695800781E-4</v>
      </c>
      <c r="E76">
        <v>213</v>
      </c>
    </row>
    <row r="77" spans="1:5" x14ac:dyDescent="0.45">
      <c r="A77" t="s">
        <v>5</v>
      </c>
      <c r="B77" t="s">
        <v>6</v>
      </c>
      <c r="C77">
        <v>76</v>
      </c>
      <c r="D77">
        <v>1.2660026550292969E-4</v>
      </c>
      <c r="E77">
        <v>100</v>
      </c>
    </row>
    <row r="78" spans="1:5" x14ac:dyDescent="0.45">
      <c r="A78" t="s">
        <v>5</v>
      </c>
      <c r="B78" t="s">
        <v>6</v>
      </c>
      <c r="C78">
        <v>77</v>
      </c>
      <c r="D78">
        <v>2.036094665527344E-4</v>
      </c>
      <c r="E78">
        <v>161</v>
      </c>
    </row>
    <row r="79" spans="1:5" x14ac:dyDescent="0.45">
      <c r="A79" t="s">
        <v>5</v>
      </c>
      <c r="B79" t="s">
        <v>6</v>
      </c>
      <c r="C79">
        <v>78</v>
      </c>
      <c r="D79">
        <v>2.2006034851074219E-4</v>
      </c>
      <c r="E79">
        <v>174</v>
      </c>
    </row>
    <row r="80" spans="1:5" x14ac:dyDescent="0.45">
      <c r="A80" t="s">
        <v>5</v>
      </c>
      <c r="B80" t="s">
        <v>6</v>
      </c>
      <c r="C80">
        <v>79</v>
      </c>
      <c r="D80">
        <v>1.859664916992188E-4</v>
      </c>
      <c r="E80">
        <v>153</v>
      </c>
    </row>
    <row r="81" spans="1:5" x14ac:dyDescent="0.45">
      <c r="A81" t="s">
        <v>5</v>
      </c>
      <c r="B81" t="s">
        <v>6</v>
      </c>
      <c r="C81">
        <v>80</v>
      </c>
      <c r="D81">
        <v>2.3913383483886719E-4</v>
      </c>
      <c r="E81">
        <v>191</v>
      </c>
    </row>
    <row r="82" spans="1:5" x14ac:dyDescent="0.45">
      <c r="A82" t="s">
        <v>5</v>
      </c>
      <c r="B82" t="s">
        <v>6</v>
      </c>
      <c r="C82">
        <v>81</v>
      </c>
      <c r="D82">
        <v>1.8239021301269531E-4</v>
      </c>
      <c r="E82">
        <v>143</v>
      </c>
    </row>
    <row r="83" spans="1:5" x14ac:dyDescent="0.45">
      <c r="A83" t="s">
        <v>5</v>
      </c>
      <c r="B83" t="s">
        <v>6</v>
      </c>
      <c r="C83">
        <v>82</v>
      </c>
      <c r="D83">
        <v>1.9621849060058591E-4</v>
      </c>
      <c r="E83">
        <v>168</v>
      </c>
    </row>
    <row r="84" spans="1:5" x14ac:dyDescent="0.45">
      <c r="A84" t="s">
        <v>5</v>
      </c>
      <c r="B84" t="s">
        <v>6</v>
      </c>
      <c r="C84">
        <v>83</v>
      </c>
      <c r="D84">
        <v>1.2564659118652341E-4</v>
      </c>
      <c r="E84">
        <v>100</v>
      </c>
    </row>
    <row r="85" spans="1:5" x14ac:dyDescent="0.45">
      <c r="A85" t="s">
        <v>5</v>
      </c>
      <c r="B85" t="s">
        <v>6</v>
      </c>
      <c r="C85">
        <v>84</v>
      </c>
      <c r="D85">
        <v>1.983642578125E-4</v>
      </c>
      <c r="E85">
        <v>167</v>
      </c>
    </row>
    <row r="86" spans="1:5" x14ac:dyDescent="0.45">
      <c r="A86" t="s">
        <v>5</v>
      </c>
      <c r="B86" t="s">
        <v>6</v>
      </c>
      <c r="C86">
        <v>85</v>
      </c>
      <c r="D86">
        <v>2.1004676818847659E-4</v>
      </c>
      <c r="E86">
        <v>173</v>
      </c>
    </row>
    <row r="87" spans="1:5" x14ac:dyDescent="0.45">
      <c r="A87" t="s">
        <v>5</v>
      </c>
      <c r="B87" t="s">
        <v>6</v>
      </c>
      <c r="C87">
        <v>86</v>
      </c>
      <c r="D87">
        <v>2.5200843811035162E-4</v>
      </c>
      <c r="E87">
        <v>207</v>
      </c>
    </row>
    <row r="88" spans="1:5" x14ac:dyDescent="0.45">
      <c r="A88" t="s">
        <v>5</v>
      </c>
      <c r="B88" t="s">
        <v>6</v>
      </c>
      <c r="C88">
        <v>87</v>
      </c>
      <c r="D88">
        <v>6.999969482421875E-4</v>
      </c>
      <c r="E88">
        <v>623</v>
      </c>
    </row>
    <row r="89" spans="1:5" x14ac:dyDescent="0.45">
      <c r="A89" t="s">
        <v>5</v>
      </c>
      <c r="B89" t="s">
        <v>6</v>
      </c>
      <c r="C89">
        <v>88</v>
      </c>
      <c r="D89">
        <v>1.492500305175781E-4</v>
      </c>
      <c r="E89">
        <v>120</v>
      </c>
    </row>
    <row r="90" spans="1:5" x14ac:dyDescent="0.45">
      <c r="A90" t="s">
        <v>5</v>
      </c>
      <c r="B90" t="s">
        <v>6</v>
      </c>
      <c r="C90">
        <v>89</v>
      </c>
      <c r="D90">
        <v>1.974105834960938E-4</v>
      </c>
      <c r="E90">
        <v>154</v>
      </c>
    </row>
    <row r="91" spans="1:5" x14ac:dyDescent="0.45">
      <c r="A91" t="s">
        <v>5</v>
      </c>
      <c r="B91" t="s">
        <v>6</v>
      </c>
      <c r="C91">
        <v>90</v>
      </c>
      <c r="D91">
        <v>4.1222572326660162E-4</v>
      </c>
      <c r="E91">
        <v>332</v>
      </c>
    </row>
    <row r="92" spans="1:5" x14ac:dyDescent="0.45">
      <c r="A92" t="s">
        <v>5</v>
      </c>
      <c r="B92" t="s">
        <v>6</v>
      </c>
      <c r="C92">
        <v>91</v>
      </c>
      <c r="D92">
        <v>2.0956993103027341E-4</v>
      </c>
      <c r="E92">
        <v>169</v>
      </c>
    </row>
    <row r="93" spans="1:5" x14ac:dyDescent="0.45">
      <c r="A93" t="s">
        <v>5</v>
      </c>
      <c r="B93" t="s">
        <v>6</v>
      </c>
      <c r="C93">
        <v>92</v>
      </c>
      <c r="D93">
        <v>1.516342163085938E-4</v>
      </c>
      <c r="E93">
        <v>122</v>
      </c>
    </row>
    <row r="94" spans="1:5" x14ac:dyDescent="0.45">
      <c r="A94" t="s">
        <v>5</v>
      </c>
      <c r="B94" t="s">
        <v>6</v>
      </c>
      <c r="C94">
        <v>93</v>
      </c>
      <c r="D94">
        <v>1.8143653869628909E-4</v>
      </c>
      <c r="E94">
        <v>155</v>
      </c>
    </row>
    <row r="95" spans="1:5" x14ac:dyDescent="0.45">
      <c r="A95" t="s">
        <v>5</v>
      </c>
      <c r="B95" t="s">
        <v>6</v>
      </c>
      <c r="C95">
        <v>94</v>
      </c>
      <c r="D95">
        <v>1.4805793762207031E-4</v>
      </c>
      <c r="E95">
        <v>111</v>
      </c>
    </row>
    <row r="96" spans="1:5" x14ac:dyDescent="0.45">
      <c r="A96" t="s">
        <v>5</v>
      </c>
      <c r="B96" t="s">
        <v>6</v>
      </c>
      <c r="C96">
        <v>95</v>
      </c>
      <c r="D96">
        <v>6.4969062805175781E-4</v>
      </c>
      <c r="E96">
        <v>531</v>
      </c>
    </row>
    <row r="97" spans="1:5" x14ac:dyDescent="0.45">
      <c r="A97" t="s">
        <v>5</v>
      </c>
      <c r="B97" t="s">
        <v>6</v>
      </c>
      <c r="C97">
        <v>96</v>
      </c>
      <c r="D97">
        <v>2.727508544921875E-4</v>
      </c>
      <c r="E97">
        <v>240</v>
      </c>
    </row>
    <row r="98" spans="1:5" x14ac:dyDescent="0.45">
      <c r="A98" t="s">
        <v>5</v>
      </c>
      <c r="B98" t="s">
        <v>6</v>
      </c>
      <c r="C98">
        <v>97</v>
      </c>
      <c r="D98">
        <v>1.5521049499511719E-4</v>
      </c>
      <c r="E98">
        <v>126</v>
      </c>
    </row>
    <row r="99" spans="1:5" x14ac:dyDescent="0.45">
      <c r="A99" t="s">
        <v>5</v>
      </c>
      <c r="B99" t="s">
        <v>6</v>
      </c>
      <c r="C99">
        <v>98</v>
      </c>
      <c r="D99">
        <v>1.730918884277344E-4</v>
      </c>
      <c r="E99">
        <v>142</v>
      </c>
    </row>
    <row r="100" spans="1:5" x14ac:dyDescent="0.45">
      <c r="A100" t="s">
        <v>5</v>
      </c>
      <c r="B100" t="s">
        <v>6</v>
      </c>
      <c r="C100">
        <v>99</v>
      </c>
      <c r="D100">
        <v>2.3198127746582031E-4</v>
      </c>
      <c r="E100">
        <v>199</v>
      </c>
    </row>
    <row r="101" spans="1:5" x14ac:dyDescent="0.45">
      <c r="A101" t="s">
        <v>5</v>
      </c>
      <c r="B101" t="s">
        <v>6</v>
      </c>
      <c r="C101">
        <v>100</v>
      </c>
      <c r="D101">
        <v>1.864433288574219E-4</v>
      </c>
      <c r="E101">
        <v>151</v>
      </c>
    </row>
    <row r="102" spans="1:5" x14ac:dyDescent="0.45">
      <c r="A102" t="s">
        <v>5</v>
      </c>
      <c r="B102" t="s">
        <v>7</v>
      </c>
      <c r="C102">
        <v>1</v>
      </c>
      <c r="D102">
        <v>1.644134521484375E-3</v>
      </c>
      <c r="E102">
        <v>30</v>
      </c>
    </row>
    <row r="103" spans="1:5" x14ac:dyDescent="0.45">
      <c r="A103" t="s">
        <v>5</v>
      </c>
      <c r="B103" t="s">
        <v>7</v>
      </c>
      <c r="C103">
        <v>2</v>
      </c>
      <c r="D103">
        <v>1.9066333770751951E-3</v>
      </c>
      <c r="E103">
        <v>34</v>
      </c>
    </row>
    <row r="104" spans="1:5" x14ac:dyDescent="0.45">
      <c r="A104" t="s">
        <v>5</v>
      </c>
      <c r="B104" t="s">
        <v>7</v>
      </c>
      <c r="C104">
        <v>3</v>
      </c>
      <c r="D104">
        <v>2.4859905242919922E-3</v>
      </c>
      <c r="E104">
        <v>35</v>
      </c>
    </row>
    <row r="105" spans="1:5" x14ac:dyDescent="0.45">
      <c r="A105" t="s">
        <v>5</v>
      </c>
      <c r="B105" t="s">
        <v>7</v>
      </c>
      <c r="C105">
        <v>4</v>
      </c>
      <c r="D105">
        <v>2.0718574523925781E-3</v>
      </c>
      <c r="E105">
        <v>34</v>
      </c>
    </row>
    <row r="106" spans="1:5" x14ac:dyDescent="0.45">
      <c r="A106" t="s">
        <v>5</v>
      </c>
      <c r="B106" t="s">
        <v>7</v>
      </c>
      <c r="C106">
        <v>5</v>
      </c>
      <c r="D106">
        <v>1.514673233032227E-3</v>
      </c>
      <c r="E106">
        <v>29</v>
      </c>
    </row>
    <row r="107" spans="1:5" x14ac:dyDescent="0.45">
      <c r="A107" t="s">
        <v>5</v>
      </c>
      <c r="B107" t="s">
        <v>7</v>
      </c>
      <c r="C107">
        <v>6</v>
      </c>
      <c r="D107">
        <v>1.681327819824219E-3</v>
      </c>
      <c r="E107">
        <v>32</v>
      </c>
    </row>
    <row r="108" spans="1:5" x14ac:dyDescent="0.45">
      <c r="A108" t="s">
        <v>5</v>
      </c>
      <c r="B108" t="s">
        <v>7</v>
      </c>
      <c r="C108">
        <v>7</v>
      </c>
      <c r="D108">
        <v>2.1350383758544922E-3</v>
      </c>
      <c r="E108">
        <v>33</v>
      </c>
    </row>
    <row r="109" spans="1:5" x14ac:dyDescent="0.45">
      <c r="A109" t="s">
        <v>5</v>
      </c>
      <c r="B109" t="s">
        <v>7</v>
      </c>
      <c r="C109">
        <v>8</v>
      </c>
      <c r="D109">
        <v>1.0094642639160161E-3</v>
      </c>
      <c r="E109">
        <v>23</v>
      </c>
    </row>
    <row r="110" spans="1:5" x14ac:dyDescent="0.45">
      <c r="A110" t="s">
        <v>5</v>
      </c>
      <c r="B110" t="s">
        <v>7</v>
      </c>
      <c r="C110">
        <v>9</v>
      </c>
      <c r="D110">
        <v>1.475095748901367E-3</v>
      </c>
      <c r="E110">
        <v>29</v>
      </c>
    </row>
    <row r="111" spans="1:5" x14ac:dyDescent="0.45">
      <c r="A111" t="s">
        <v>5</v>
      </c>
      <c r="B111" t="s">
        <v>7</v>
      </c>
      <c r="C111">
        <v>10</v>
      </c>
      <c r="D111">
        <v>2.1698474884033199E-3</v>
      </c>
      <c r="E111">
        <v>34</v>
      </c>
    </row>
    <row r="112" spans="1:5" x14ac:dyDescent="0.45">
      <c r="A112" t="s">
        <v>5</v>
      </c>
      <c r="B112" t="s">
        <v>7</v>
      </c>
      <c r="C112">
        <v>11</v>
      </c>
      <c r="D112">
        <v>7.8821182250976563E-4</v>
      </c>
      <c r="E112">
        <v>20</v>
      </c>
    </row>
    <row r="113" spans="1:5" x14ac:dyDescent="0.45">
      <c r="A113" t="s">
        <v>5</v>
      </c>
      <c r="B113" t="s">
        <v>7</v>
      </c>
      <c r="C113">
        <v>12</v>
      </c>
      <c r="D113">
        <v>1.157045364379883E-3</v>
      </c>
      <c r="E113">
        <v>25</v>
      </c>
    </row>
    <row r="114" spans="1:5" x14ac:dyDescent="0.45">
      <c r="A114" t="s">
        <v>5</v>
      </c>
      <c r="B114" t="s">
        <v>7</v>
      </c>
      <c r="C114">
        <v>13</v>
      </c>
      <c r="D114">
        <v>2.3238658905029301E-3</v>
      </c>
      <c r="E114">
        <v>35</v>
      </c>
    </row>
    <row r="115" spans="1:5" x14ac:dyDescent="0.45">
      <c r="A115" t="s">
        <v>5</v>
      </c>
      <c r="B115" t="s">
        <v>7</v>
      </c>
      <c r="C115">
        <v>14</v>
      </c>
      <c r="D115">
        <v>1.543760299682617E-3</v>
      </c>
      <c r="E115">
        <v>28</v>
      </c>
    </row>
    <row r="116" spans="1:5" x14ac:dyDescent="0.45">
      <c r="A116" t="s">
        <v>5</v>
      </c>
      <c r="B116" t="s">
        <v>7</v>
      </c>
      <c r="C116">
        <v>15</v>
      </c>
      <c r="D116">
        <v>1.8649101257324221E-3</v>
      </c>
      <c r="E116">
        <v>31</v>
      </c>
    </row>
    <row r="117" spans="1:5" x14ac:dyDescent="0.45">
      <c r="A117" t="s">
        <v>5</v>
      </c>
      <c r="B117" t="s">
        <v>7</v>
      </c>
      <c r="C117">
        <v>16</v>
      </c>
      <c r="D117">
        <v>1.5060901641845701E-3</v>
      </c>
      <c r="E117">
        <v>27</v>
      </c>
    </row>
    <row r="118" spans="1:5" x14ac:dyDescent="0.45">
      <c r="A118" t="s">
        <v>5</v>
      </c>
      <c r="B118" t="s">
        <v>7</v>
      </c>
      <c r="C118">
        <v>17</v>
      </c>
      <c r="D118">
        <v>1.8532276153564451E-3</v>
      </c>
      <c r="E118">
        <v>31</v>
      </c>
    </row>
    <row r="119" spans="1:5" x14ac:dyDescent="0.45">
      <c r="A119" t="s">
        <v>5</v>
      </c>
      <c r="B119" t="s">
        <v>7</v>
      </c>
      <c r="C119">
        <v>18</v>
      </c>
      <c r="D119">
        <v>1.780509948730469E-3</v>
      </c>
      <c r="E119">
        <v>33</v>
      </c>
    </row>
    <row r="120" spans="1:5" x14ac:dyDescent="0.45">
      <c r="A120" t="s">
        <v>5</v>
      </c>
      <c r="B120" t="s">
        <v>7</v>
      </c>
      <c r="C120">
        <v>19</v>
      </c>
      <c r="D120">
        <v>1.3642311096191411E-3</v>
      </c>
      <c r="E120">
        <v>26</v>
      </c>
    </row>
    <row r="121" spans="1:5" x14ac:dyDescent="0.45">
      <c r="A121" t="s">
        <v>5</v>
      </c>
      <c r="B121" t="s">
        <v>7</v>
      </c>
      <c r="C121">
        <v>20</v>
      </c>
      <c r="D121">
        <v>9.7990036010742188E-4</v>
      </c>
      <c r="E121">
        <v>21</v>
      </c>
    </row>
    <row r="122" spans="1:5" x14ac:dyDescent="0.45">
      <c r="A122" t="s">
        <v>5</v>
      </c>
      <c r="B122" t="s">
        <v>7</v>
      </c>
      <c r="C122">
        <v>21</v>
      </c>
      <c r="D122">
        <v>2.097845077514648E-3</v>
      </c>
      <c r="E122">
        <v>33</v>
      </c>
    </row>
    <row r="123" spans="1:5" x14ac:dyDescent="0.45">
      <c r="A123" t="s">
        <v>5</v>
      </c>
      <c r="B123" t="s">
        <v>7</v>
      </c>
      <c r="C123">
        <v>22</v>
      </c>
      <c r="D123">
        <v>1.068353652954102E-3</v>
      </c>
      <c r="E123">
        <v>24</v>
      </c>
    </row>
    <row r="124" spans="1:5" x14ac:dyDescent="0.45">
      <c r="A124" t="s">
        <v>5</v>
      </c>
      <c r="B124" t="s">
        <v>7</v>
      </c>
      <c r="C124">
        <v>23</v>
      </c>
      <c r="D124">
        <v>9.1576576232910156E-4</v>
      </c>
      <c r="E124">
        <v>22</v>
      </c>
    </row>
    <row r="125" spans="1:5" x14ac:dyDescent="0.45">
      <c r="A125" t="s">
        <v>5</v>
      </c>
      <c r="B125" t="s">
        <v>7</v>
      </c>
      <c r="C125">
        <v>24</v>
      </c>
      <c r="D125">
        <v>1.5888214111328121E-3</v>
      </c>
      <c r="E125">
        <v>30</v>
      </c>
    </row>
    <row r="126" spans="1:5" x14ac:dyDescent="0.45">
      <c r="A126" t="s">
        <v>5</v>
      </c>
      <c r="B126" t="s">
        <v>7</v>
      </c>
      <c r="C126">
        <v>25</v>
      </c>
      <c r="D126">
        <v>1.0163784027099609E-3</v>
      </c>
      <c r="E126">
        <v>21</v>
      </c>
    </row>
    <row r="127" spans="1:5" x14ac:dyDescent="0.45">
      <c r="A127" t="s">
        <v>5</v>
      </c>
      <c r="B127" t="s">
        <v>7</v>
      </c>
      <c r="C127">
        <v>26</v>
      </c>
      <c r="D127">
        <v>2.0248889923095699E-3</v>
      </c>
      <c r="E127">
        <v>33</v>
      </c>
    </row>
    <row r="128" spans="1:5" x14ac:dyDescent="0.45">
      <c r="A128" t="s">
        <v>5</v>
      </c>
      <c r="B128" t="s">
        <v>7</v>
      </c>
      <c r="C128">
        <v>27</v>
      </c>
      <c r="D128">
        <v>1.1181831359863279E-3</v>
      </c>
      <c r="E128">
        <v>25</v>
      </c>
    </row>
    <row r="129" spans="1:5" x14ac:dyDescent="0.45">
      <c r="A129" t="s">
        <v>5</v>
      </c>
      <c r="B129" t="s">
        <v>7</v>
      </c>
      <c r="C129">
        <v>28</v>
      </c>
      <c r="D129">
        <v>2.1448135375976558E-3</v>
      </c>
      <c r="E129">
        <v>33</v>
      </c>
    </row>
    <row r="130" spans="1:5" x14ac:dyDescent="0.45">
      <c r="A130" t="s">
        <v>5</v>
      </c>
      <c r="B130" t="s">
        <v>7</v>
      </c>
      <c r="C130">
        <v>29</v>
      </c>
      <c r="D130">
        <v>9.5248222351074219E-4</v>
      </c>
      <c r="E130">
        <v>20</v>
      </c>
    </row>
    <row r="131" spans="1:5" x14ac:dyDescent="0.45">
      <c r="A131" t="s">
        <v>5</v>
      </c>
      <c r="B131" t="s">
        <v>7</v>
      </c>
      <c r="C131">
        <v>30</v>
      </c>
      <c r="D131">
        <v>9.4389915466308594E-4</v>
      </c>
      <c r="E131">
        <v>23</v>
      </c>
    </row>
    <row r="132" spans="1:5" x14ac:dyDescent="0.45">
      <c r="A132" t="s">
        <v>5</v>
      </c>
      <c r="B132" t="s">
        <v>7</v>
      </c>
      <c r="C132">
        <v>31</v>
      </c>
      <c r="D132">
        <v>1.796483993530273E-3</v>
      </c>
      <c r="E132">
        <v>32</v>
      </c>
    </row>
    <row r="133" spans="1:5" x14ac:dyDescent="0.45">
      <c r="A133" t="s">
        <v>5</v>
      </c>
      <c r="B133" t="s">
        <v>7</v>
      </c>
      <c r="C133">
        <v>32</v>
      </c>
      <c r="D133">
        <v>8.4733963012695313E-4</v>
      </c>
      <c r="E133">
        <v>21</v>
      </c>
    </row>
    <row r="134" spans="1:5" x14ac:dyDescent="0.45">
      <c r="A134" t="s">
        <v>5</v>
      </c>
      <c r="B134" t="s">
        <v>7</v>
      </c>
      <c r="C134">
        <v>33</v>
      </c>
      <c r="D134">
        <v>2.006292343139648E-3</v>
      </c>
      <c r="E134">
        <v>33</v>
      </c>
    </row>
    <row r="135" spans="1:5" x14ac:dyDescent="0.45">
      <c r="A135" t="s">
        <v>5</v>
      </c>
      <c r="B135" t="s">
        <v>7</v>
      </c>
      <c r="C135">
        <v>34</v>
      </c>
      <c r="D135">
        <v>1.539945602416992E-3</v>
      </c>
      <c r="E135">
        <v>28</v>
      </c>
    </row>
    <row r="136" spans="1:5" x14ac:dyDescent="0.45">
      <c r="A136" t="s">
        <v>5</v>
      </c>
      <c r="B136" t="s">
        <v>7</v>
      </c>
      <c r="C136">
        <v>35</v>
      </c>
      <c r="D136">
        <v>1.1184215545654299E-3</v>
      </c>
      <c r="E136">
        <v>22</v>
      </c>
    </row>
    <row r="137" spans="1:5" x14ac:dyDescent="0.45">
      <c r="A137" t="s">
        <v>5</v>
      </c>
      <c r="B137" t="s">
        <v>7</v>
      </c>
      <c r="C137">
        <v>36</v>
      </c>
      <c r="D137">
        <v>1.4433860778808589E-3</v>
      </c>
      <c r="E137">
        <v>29</v>
      </c>
    </row>
    <row r="138" spans="1:5" x14ac:dyDescent="0.45">
      <c r="A138" t="s">
        <v>5</v>
      </c>
      <c r="B138" t="s">
        <v>7</v>
      </c>
      <c r="C138">
        <v>37</v>
      </c>
      <c r="D138">
        <v>1.0704994201660161E-3</v>
      </c>
      <c r="E138">
        <v>21</v>
      </c>
    </row>
    <row r="139" spans="1:5" x14ac:dyDescent="0.45">
      <c r="A139" t="s">
        <v>5</v>
      </c>
      <c r="B139" t="s">
        <v>7</v>
      </c>
      <c r="C139">
        <v>38</v>
      </c>
      <c r="D139">
        <v>8.0013275146484375E-4</v>
      </c>
      <c r="E139">
        <v>20</v>
      </c>
    </row>
    <row r="140" spans="1:5" x14ac:dyDescent="0.45">
      <c r="A140" t="s">
        <v>5</v>
      </c>
      <c r="B140" t="s">
        <v>7</v>
      </c>
      <c r="C140">
        <v>39</v>
      </c>
      <c r="D140">
        <v>9.2625617980957031E-4</v>
      </c>
      <c r="E140">
        <v>20</v>
      </c>
    </row>
    <row r="141" spans="1:5" x14ac:dyDescent="0.45">
      <c r="A141" t="s">
        <v>5</v>
      </c>
      <c r="B141" t="s">
        <v>7</v>
      </c>
      <c r="C141">
        <v>40</v>
      </c>
      <c r="D141">
        <v>1.069068908691406E-3</v>
      </c>
      <c r="E141">
        <v>24</v>
      </c>
    </row>
    <row r="142" spans="1:5" x14ac:dyDescent="0.45">
      <c r="A142" t="s">
        <v>5</v>
      </c>
      <c r="B142" t="s">
        <v>7</v>
      </c>
      <c r="C142">
        <v>41</v>
      </c>
      <c r="D142">
        <v>2.0852088928222661E-3</v>
      </c>
      <c r="E142">
        <v>32</v>
      </c>
    </row>
    <row r="143" spans="1:5" x14ac:dyDescent="0.45">
      <c r="A143" t="s">
        <v>5</v>
      </c>
      <c r="B143" t="s">
        <v>7</v>
      </c>
      <c r="C143">
        <v>42</v>
      </c>
      <c r="D143">
        <v>7.6174736022949219E-4</v>
      </c>
      <c r="E143">
        <v>20</v>
      </c>
    </row>
    <row r="144" spans="1:5" x14ac:dyDescent="0.45">
      <c r="A144" t="s">
        <v>5</v>
      </c>
      <c r="B144" t="s">
        <v>7</v>
      </c>
      <c r="C144">
        <v>43</v>
      </c>
      <c r="D144">
        <v>2.2530555725097661E-3</v>
      </c>
      <c r="E144">
        <v>33</v>
      </c>
    </row>
    <row r="145" spans="1:5" x14ac:dyDescent="0.45">
      <c r="A145" t="s">
        <v>5</v>
      </c>
      <c r="B145" t="s">
        <v>7</v>
      </c>
      <c r="C145">
        <v>44</v>
      </c>
      <c r="D145">
        <v>1.5654563903808589E-3</v>
      </c>
      <c r="E145">
        <v>30</v>
      </c>
    </row>
    <row r="146" spans="1:5" x14ac:dyDescent="0.45">
      <c r="A146" t="s">
        <v>5</v>
      </c>
      <c r="B146" t="s">
        <v>7</v>
      </c>
      <c r="C146">
        <v>45</v>
      </c>
      <c r="D146">
        <v>1.7871856689453121E-3</v>
      </c>
      <c r="E146">
        <v>33</v>
      </c>
    </row>
    <row r="147" spans="1:5" x14ac:dyDescent="0.45">
      <c r="A147" t="s">
        <v>5</v>
      </c>
      <c r="B147" t="s">
        <v>7</v>
      </c>
      <c r="C147">
        <v>46</v>
      </c>
      <c r="D147">
        <v>1.7600059509277339E-3</v>
      </c>
      <c r="E147">
        <v>30</v>
      </c>
    </row>
    <row r="148" spans="1:5" x14ac:dyDescent="0.45">
      <c r="A148" t="s">
        <v>5</v>
      </c>
      <c r="B148" t="s">
        <v>7</v>
      </c>
      <c r="C148">
        <v>47</v>
      </c>
      <c r="D148">
        <v>8.640289306640625E-4</v>
      </c>
      <c r="E148">
        <v>21</v>
      </c>
    </row>
    <row r="149" spans="1:5" x14ac:dyDescent="0.45">
      <c r="A149" t="s">
        <v>5</v>
      </c>
      <c r="B149" t="s">
        <v>7</v>
      </c>
      <c r="C149">
        <v>48</v>
      </c>
      <c r="D149">
        <v>2.2101402282714839E-3</v>
      </c>
      <c r="E149">
        <v>45</v>
      </c>
    </row>
    <row r="150" spans="1:5" x14ac:dyDescent="0.45">
      <c r="A150" t="s">
        <v>5</v>
      </c>
      <c r="B150" t="s">
        <v>7</v>
      </c>
      <c r="C150">
        <v>49</v>
      </c>
      <c r="D150">
        <v>1.318931579589844E-3</v>
      </c>
      <c r="E150">
        <v>27</v>
      </c>
    </row>
    <row r="151" spans="1:5" x14ac:dyDescent="0.45">
      <c r="A151" t="s">
        <v>5</v>
      </c>
      <c r="B151" t="s">
        <v>7</v>
      </c>
      <c r="C151">
        <v>50</v>
      </c>
      <c r="D151">
        <v>1.0368824005126951E-3</v>
      </c>
      <c r="E151">
        <v>22</v>
      </c>
    </row>
    <row r="152" spans="1:5" x14ac:dyDescent="0.45">
      <c r="A152" t="s">
        <v>5</v>
      </c>
      <c r="B152" t="s">
        <v>7</v>
      </c>
      <c r="C152">
        <v>51</v>
      </c>
      <c r="D152">
        <v>9.2959403991699219E-4</v>
      </c>
      <c r="E152">
        <v>22</v>
      </c>
    </row>
    <row r="153" spans="1:5" x14ac:dyDescent="0.45">
      <c r="A153" t="s">
        <v>5</v>
      </c>
      <c r="B153" t="s">
        <v>7</v>
      </c>
      <c r="C153">
        <v>52</v>
      </c>
      <c r="D153">
        <v>1.148462295532227E-3</v>
      </c>
      <c r="E153">
        <v>24</v>
      </c>
    </row>
    <row r="154" spans="1:5" x14ac:dyDescent="0.45">
      <c r="A154" t="s">
        <v>5</v>
      </c>
      <c r="B154" t="s">
        <v>7</v>
      </c>
      <c r="C154">
        <v>53</v>
      </c>
      <c r="D154">
        <v>1.6322135925292971E-3</v>
      </c>
      <c r="E154">
        <v>30</v>
      </c>
    </row>
    <row r="155" spans="1:5" x14ac:dyDescent="0.45">
      <c r="A155" t="s">
        <v>5</v>
      </c>
      <c r="B155" t="s">
        <v>7</v>
      </c>
      <c r="C155">
        <v>54</v>
      </c>
      <c r="D155">
        <v>1.623868942260742E-3</v>
      </c>
      <c r="E155">
        <v>30</v>
      </c>
    </row>
    <row r="156" spans="1:5" x14ac:dyDescent="0.45">
      <c r="A156" t="s">
        <v>5</v>
      </c>
      <c r="B156" t="s">
        <v>7</v>
      </c>
      <c r="C156">
        <v>55</v>
      </c>
      <c r="D156">
        <v>1.3411045074462891E-3</v>
      </c>
      <c r="E156">
        <v>27</v>
      </c>
    </row>
    <row r="157" spans="1:5" x14ac:dyDescent="0.45">
      <c r="A157" t="s">
        <v>5</v>
      </c>
      <c r="B157" t="s">
        <v>7</v>
      </c>
      <c r="C157">
        <v>56</v>
      </c>
      <c r="D157">
        <v>1.3802051544189451E-3</v>
      </c>
      <c r="E157">
        <v>26</v>
      </c>
    </row>
    <row r="158" spans="1:5" x14ac:dyDescent="0.45">
      <c r="A158" t="s">
        <v>5</v>
      </c>
      <c r="B158" t="s">
        <v>7</v>
      </c>
      <c r="C158">
        <v>57</v>
      </c>
      <c r="D158">
        <v>1.4097690582275391E-3</v>
      </c>
      <c r="E158">
        <v>28</v>
      </c>
    </row>
    <row r="159" spans="1:5" x14ac:dyDescent="0.45">
      <c r="A159" t="s">
        <v>5</v>
      </c>
      <c r="B159" t="s">
        <v>7</v>
      </c>
      <c r="C159">
        <v>58</v>
      </c>
      <c r="D159">
        <v>1.529693603515625E-3</v>
      </c>
      <c r="E159">
        <v>29</v>
      </c>
    </row>
    <row r="160" spans="1:5" x14ac:dyDescent="0.45">
      <c r="A160" t="s">
        <v>5</v>
      </c>
      <c r="B160" t="s">
        <v>7</v>
      </c>
      <c r="C160">
        <v>59</v>
      </c>
      <c r="D160">
        <v>1.3232231140136721E-3</v>
      </c>
      <c r="E160">
        <v>27</v>
      </c>
    </row>
    <row r="161" spans="1:5" x14ac:dyDescent="0.45">
      <c r="A161" t="s">
        <v>5</v>
      </c>
      <c r="B161" t="s">
        <v>7</v>
      </c>
      <c r="C161">
        <v>60</v>
      </c>
      <c r="D161">
        <v>1.452445983886719E-3</v>
      </c>
      <c r="E161">
        <v>23</v>
      </c>
    </row>
    <row r="162" spans="1:5" x14ac:dyDescent="0.45">
      <c r="A162" t="s">
        <v>5</v>
      </c>
      <c r="B162" t="s">
        <v>7</v>
      </c>
      <c r="C162">
        <v>61</v>
      </c>
      <c r="D162">
        <v>1.702308654785156E-3</v>
      </c>
      <c r="E162">
        <v>27</v>
      </c>
    </row>
    <row r="163" spans="1:5" x14ac:dyDescent="0.45">
      <c r="A163" t="s">
        <v>5</v>
      </c>
      <c r="B163" t="s">
        <v>7</v>
      </c>
      <c r="C163">
        <v>62</v>
      </c>
      <c r="D163">
        <v>1.093626022338867E-3</v>
      </c>
      <c r="E163">
        <v>25</v>
      </c>
    </row>
    <row r="164" spans="1:5" x14ac:dyDescent="0.45">
      <c r="A164" t="s">
        <v>5</v>
      </c>
      <c r="B164" t="s">
        <v>7</v>
      </c>
      <c r="C164">
        <v>63</v>
      </c>
      <c r="D164">
        <v>1.309394836425781E-3</v>
      </c>
      <c r="E164">
        <v>26</v>
      </c>
    </row>
    <row r="165" spans="1:5" x14ac:dyDescent="0.45">
      <c r="A165" t="s">
        <v>5</v>
      </c>
      <c r="B165" t="s">
        <v>7</v>
      </c>
      <c r="C165">
        <v>64</v>
      </c>
      <c r="D165">
        <v>1.492738723754883E-3</v>
      </c>
      <c r="E165">
        <v>27</v>
      </c>
    </row>
    <row r="166" spans="1:5" x14ac:dyDescent="0.45">
      <c r="A166" t="s">
        <v>5</v>
      </c>
      <c r="B166" t="s">
        <v>7</v>
      </c>
      <c r="C166">
        <v>65</v>
      </c>
      <c r="D166">
        <v>1.6765594482421879E-3</v>
      </c>
      <c r="E166">
        <v>31</v>
      </c>
    </row>
    <row r="167" spans="1:5" x14ac:dyDescent="0.45">
      <c r="A167" t="s">
        <v>5</v>
      </c>
      <c r="B167" t="s">
        <v>7</v>
      </c>
      <c r="C167">
        <v>66</v>
      </c>
      <c r="D167">
        <v>2.1567344665527339E-3</v>
      </c>
      <c r="E167">
        <v>35</v>
      </c>
    </row>
    <row r="168" spans="1:5" x14ac:dyDescent="0.45">
      <c r="A168" t="s">
        <v>5</v>
      </c>
      <c r="B168" t="s">
        <v>7</v>
      </c>
      <c r="C168">
        <v>67</v>
      </c>
      <c r="D168">
        <v>2.0937919616699219E-3</v>
      </c>
      <c r="E168">
        <v>32</v>
      </c>
    </row>
    <row r="169" spans="1:5" x14ac:dyDescent="0.45">
      <c r="A169" t="s">
        <v>5</v>
      </c>
      <c r="B169" t="s">
        <v>7</v>
      </c>
      <c r="C169">
        <v>68</v>
      </c>
      <c r="D169">
        <v>1.9938945770263672E-3</v>
      </c>
      <c r="E169">
        <v>33</v>
      </c>
    </row>
    <row r="170" spans="1:5" x14ac:dyDescent="0.45">
      <c r="A170" t="s">
        <v>5</v>
      </c>
      <c r="B170" t="s">
        <v>7</v>
      </c>
      <c r="C170">
        <v>69</v>
      </c>
      <c r="D170">
        <v>7.9131126403808594E-4</v>
      </c>
      <c r="E170">
        <v>20</v>
      </c>
    </row>
    <row r="171" spans="1:5" x14ac:dyDescent="0.45">
      <c r="A171" t="s">
        <v>5</v>
      </c>
      <c r="B171" t="s">
        <v>7</v>
      </c>
      <c r="C171">
        <v>70</v>
      </c>
      <c r="D171">
        <v>8.5759162902832031E-4</v>
      </c>
      <c r="E171">
        <v>21</v>
      </c>
    </row>
    <row r="172" spans="1:5" x14ac:dyDescent="0.45">
      <c r="A172" t="s">
        <v>5</v>
      </c>
      <c r="B172" t="s">
        <v>7</v>
      </c>
      <c r="C172">
        <v>71</v>
      </c>
      <c r="D172">
        <v>9.1290473937988281E-4</v>
      </c>
      <c r="E172">
        <v>22</v>
      </c>
    </row>
    <row r="173" spans="1:5" x14ac:dyDescent="0.45">
      <c r="A173" t="s">
        <v>5</v>
      </c>
      <c r="B173" t="s">
        <v>7</v>
      </c>
      <c r="C173">
        <v>72</v>
      </c>
      <c r="D173">
        <v>1.1460781097412109E-3</v>
      </c>
      <c r="E173">
        <v>25</v>
      </c>
    </row>
    <row r="174" spans="1:5" x14ac:dyDescent="0.45">
      <c r="A174" t="s">
        <v>5</v>
      </c>
      <c r="B174" t="s">
        <v>7</v>
      </c>
      <c r="C174">
        <v>73</v>
      </c>
      <c r="D174">
        <v>1.561164855957031E-3</v>
      </c>
      <c r="E174">
        <v>28</v>
      </c>
    </row>
    <row r="175" spans="1:5" x14ac:dyDescent="0.45">
      <c r="A175" t="s">
        <v>5</v>
      </c>
      <c r="B175" t="s">
        <v>7</v>
      </c>
      <c r="C175">
        <v>74</v>
      </c>
      <c r="D175">
        <v>1.1308193206787109E-3</v>
      </c>
      <c r="E175">
        <v>23</v>
      </c>
    </row>
    <row r="176" spans="1:5" x14ac:dyDescent="0.45">
      <c r="A176" t="s">
        <v>5</v>
      </c>
      <c r="B176" t="s">
        <v>7</v>
      </c>
      <c r="C176">
        <v>75</v>
      </c>
      <c r="D176">
        <v>1.0151863098144529E-3</v>
      </c>
      <c r="E176">
        <v>23</v>
      </c>
    </row>
    <row r="177" spans="1:5" x14ac:dyDescent="0.45">
      <c r="A177" t="s">
        <v>5</v>
      </c>
      <c r="B177" t="s">
        <v>7</v>
      </c>
      <c r="C177">
        <v>76</v>
      </c>
      <c r="D177">
        <v>1.0933876037597661E-3</v>
      </c>
      <c r="E177">
        <v>22</v>
      </c>
    </row>
    <row r="178" spans="1:5" x14ac:dyDescent="0.45">
      <c r="A178" t="s">
        <v>5</v>
      </c>
      <c r="B178" t="s">
        <v>7</v>
      </c>
      <c r="C178">
        <v>77</v>
      </c>
      <c r="D178">
        <v>1.167058944702148E-3</v>
      </c>
      <c r="E178">
        <v>25</v>
      </c>
    </row>
    <row r="179" spans="1:5" x14ac:dyDescent="0.45">
      <c r="A179" t="s">
        <v>5</v>
      </c>
      <c r="B179" t="s">
        <v>7</v>
      </c>
      <c r="C179">
        <v>78</v>
      </c>
      <c r="D179">
        <v>2.2993087768554692E-3</v>
      </c>
      <c r="E179">
        <v>35</v>
      </c>
    </row>
    <row r="180" spans="1:5" x14ac:dyDescent="0.45">
      <c r="A180" t="s">
        <v>5</v>
      </c>
      <c r="B180" t="s">
        <v>7</v>
      </c>
      <c r="C180">
        <v>79</v>
      </c>
      <c r="D180">
        <v>1.4805793762207029E-3</v>
      </c>
      <c r="E180">
        <v>28</v>
      </c>
    </row>
    <row r="181" spans="1:5" x14ac:dyDescent="0.45">
      <c r="A181" t="s">
        <v>5</v>
      </c>
      <c r="B181" t="s">
        <v>7</v>
      </c>
      <c r="C181">
        <v>80</v>
      </c>
      <c r="D181">
        <v>1.814842224121094E-3</v>
      </c>
      <c r="E181">
        <v>32</v>
      </c>
    </row>
    <row r="182" spans="1:5" x14ac:dyDescent="0.45">
      <c r="A182" t="s">
        <v>5</v>
      </c>
      <c r="B182" t="s">
        <v>7</v>
      </c>
      <c r="C182">
        <v>81</v>
      </c>
      <c r="D182">
        <v>1.2531280517578121E-3</v>
      </c>
      <c r="E182">
        <v>26</v>
      </c>
    </row>
    <row r="183" spans="1:5" x14ac:dyDescent="0.45">
      <c r="A183" t="s">
        <v>5</v>
      </c>
      <c r="B183" t="s">
        <v>7</v>
      </c>
      <c r="C183">
        <v>82</v>
      </c>
      <c r="D183">
        <v>1.68609619140625E-3</v>
      </c>
      <c r="E183">
        <v>30</v>
      </c>
    </row>
    <row r="184" spans="1:5" x14ac:dyDescent="0.45">
      <c r="A184" t="s">
        <v>5</v>
      </c>
      <c r="B184" t="s">
        <v>7</v>
      </c>
      <c r="C184">
        <v>83</v>
      </c>
      <c r="D184">
        <v>1.199007034301758E-3</v>
      </c>
      <c r="E184">
        <v>22</v>
      </c>
    </row>
    <row r="185" spans="1:5" x14ac:dyDescent="0.45">
      <c r="A185" t="s">
        <v>5</v>
      </c>
      <c r="B185" t="s">
        <v>7</v>
      </c>
      <c r="C185">
        <v>84</v>
      </c>
      <c r="D185">
        <v>2.044916152954102E-3</v>
      </c>
      <c r="E185">
        <v>28</v>
      </c>
    </row>
    <row r="186" spans="1:5" x14ac:dyDescent="0.45">
      <c r="A186" t="s">
        <v>5</v>
      </c>
      <c r="B186" t="s">
        <v>7</v>
      </c>
      <c r="C186">
        <v>85</v>
      </c>
      <c r="D186">
        <v>2.1827220916748051E-3</v>
      </c>
      <c r="E186">
        <v>31</v>
      </c>
    </row>
    <row r="187" spans="1:5" x14ac:dyDescent="0.45">
      <c r="A187" t="s">
        <v>5</v>
      </c>
      <c r="B187" t="s">
        <v>7</v>
      </c>
      <c r="C187">
        <v>86</v>
      </c>
      <c r="D187">
        <v>1.9385814666748049E-3</v>
      </c>
      <c r="E187">
        <v>33</v>
      </c>
    </row>
    <row r="188" spans="1:5" x14ac:dyDescent="0.45">
      <c r="A188" t="s">
        <v>5</v>
      </c>
      <c r="B188" t="s">
        <v>7</v>
      </c>
      <c r="C188">
        <v>87</v>
      </c>
      <c r="D188">
        <v>1.5997886657714839E-3</v>
      </c>
      <c r="E188">
        <v>30</v>
      </c>
    </row>
    <row r="189" spans="1:5" x14ac:dyDescent="0.45">
      <c r="A189" t="s">
        <v>5</v>
      </c>
      <c r="B189" t="s">
        <v>7</v>
      </c>
      <c r="C189">
        <v>88</v>
      </c>
      <c r="D189">
        <v>1.151800155639648E-3</v>
      </c>
      <c r="E189">
        <v>25</v>
      </c>
    </row>
    <row r="190" spans="1:5" x14ac:dyDescent="0.45">
      <c r="A190" t="s">
        <v>5</v>
      </c>
      <c r="B190" t="s">
        <v>7</v>
      </c>
      <c r="C190">
        <v>89</v>
      </c>
      <c r="D190">
        <v>1.5716552734375E-3</v>
      </c>
      <c r="E190">
        <v>30</v>
      </c>
    </row>
    <row r="191" spans="1:5" x14ac:dyDescent="0.45">
      <c r="A191" t="s">
        <v>5</v>
      </c>
      <c r="B191" t="s">
        <v>7</v>
      </c>
      <c r="C191">
        <v>90</v>
      </c>
      <c r="D191">
        <v>1.9011497497558589E-3</v>
      </c>
      <c r="E191">
        <v>32</v>
      </c>
    </row>
    <row r="192" spans="1:5" x14ac:dyDescent="0.45">
      <c r="A192" t="s">
        <v>5</v>
      </c>
      <c r="B192" t="s">
        <v>7</v>
      </c>
      <c r="C192">
        <v>91</v>
      </c>
      <c r="D192">
        <v>1.950263977050781E-3</v>
      </c>
      <c r="E192">
        <v>31</v>
      </c>
    </row>
    <row r="193" spans="1:5" x14ac:dyDescent="0.45">
      <c r="A193" t="s">
        <v>5</v>
      </c>
      <c r="B193" t="s">
        <v>7</v>
      </c>
      <c r="C193">
        <v>92</v>
      </c>
      <c r="D193">
        <v>1.217842102050781E-3</v>
      </c>
      <c r="E193">
        <v>23</v>
      </c>
    </row>
    <row r="194" spans="1:5" x14ac:dyDescent="0.45">
      <c r="A194" t="s">
        <v>5</v>
      </c>
      <c r="B194" t="s">
        <v>7</v>
      </c>
      <c r="C194">
        <v>93</v>
      </c>
      <c r="D194">
        <v>9.3841552734375E-4</v>
      </c>
      <c r="E194">
        <v>22</v>
      </c>
    </row>
    <row r="195" spans="1:5" x14ac:dyDescent="0.45">
      <c r="A195" t="s">
        <v>5</v>
      </c>
      <c r="B195" t="s">
        <v>7</v>
      </c>
      <c r="C195">
        <v>94</v>
      </c>
      <c r="D195">
        <v>8.6855888366699219E-4</v>
      </c>
      <c r="E195">
        <v>21</v>
      </c>
    </row>
    <row r="196" spans="1:5" x14ac:dyDescent="0.45">
      <c r="A196" t="s">
        <v>5</v>
      </c>
      <c r="B196" t="s">
        <v>7</v>
      </c>
      <c r="C196">
        <v>95</v>
      </c>
      <c r="D196">
        <v>2.1560192108154301E-3</v>
      </c>
      <c r="E196">
        <v>35</v>
      </c>
    </row>
    <row r="197" spans="1:5" x14ac:dyDescent="0.45">
      <c r="A197" t="s">
        <v>5</v>
      </c>
      <c r="B197" t="s">
        <v>7</v>
      </c>
      <c r="C197">
        <v>96</v>
      </c>
      <c r="D197">
        <v>1.1551380157470701E-3</v>
      </c>
      <c r="E197">
        <v>24</v>
      </c>
    </row>
    <row r="198" spans="1:5" x14ac:dyDescent="0.45">
      <c r="A198" t="s">
        <v>5</v>
      </c>
      <c r="B198" t="s">
        <v>7</v>
      </c>
      <c r="C198">
        <v>97</v>
      </c>
      <c r="D198">
        <v>1.1641979217529299E-3</v>
      </c>
      <c r="E198">
        <v>25</v>
      </c>
    </row>
    <row r="199" spans="1:5" x14ac:dyDescent="0.45">
      <c r="A199" t="s">
        <v>5</v>
      </c>
      <c r="B199" t="s">
        <v>7</v>
      </c>
      <c r="C199">
        <v>98</v>
      </c>
      <c r="D199">
        <v>1.496553421020508E-3</v>
      </c>
      <c r="E199">
        <v>29</v>
      </c>
    </row>
    <row r="200" spans="1:5" x14ac:dyDescent="0.45">
      <c r="A200" t="s">
        <v>5</v>
      </c>
      <c r="B200" t="s">
        <v>7</v>
      </c>
      <c r="C200">
        <v>99</v>
      </c>
      <c r="D200">
        <v>1.614570617675781E-3</v>
      </c>
      <c r="E200">
        <v>29</v>
      </c>
    </row>
    <row r="201" spans="1:5" x14ac:dyDescent="0.45">
      <c r="A201" t="s">
        <v>5</v>
      </c>
      <c r="B201" t="s">
        <v>7</v>
      </c>
      <c r="C201">
        <v>100</v>
      </c>
      <c r="D201">
        <v>1.585721969604492E-3</v>
      </c>
      <c r="E201">
        <v>30</v>
      </c>
    </row>
    <row r="202" spans="1:5" x14ac:dyDescent="0.45">
      <c r="A202" t="s">
        <v>8</v>
      </c>
      <c r="B202" t="s">
        <v>6</v>
      </c>
      <c r="C202">
        <v>1</v>
      </c>
      <c r="D202">
        <v>4.8303604125976563E-4</v>
      </c>
      <c r="E202">
        <v>364</v>
      </c>
    </row>
    <row r="203" spans="1:5" x14ac:dyDescent="0.45">
      <c r="A203" t="s">
        <v>8</v>
      </c>
      <c r="B203" t="s">
        <v>6</v>
      </c>
      <c r="C203">
        <v>2</v>
      </c>
      <c r="D203">
        <v>5.2642822265625E-4</v>
      </c>
      <c r="E203">
        <v>421</v>
      </c>
    </row>
    <row r="204" spans="1:5" x14ac:dyDescent="0.45">
      <c r="A204" t="s">
        <v>8</v>
      </c>
      <c r="B204" t="s">
        <v>6</v>
      </c>
      <c r="C204">
        <v>3</v>
      </c>
      <c r="D204">
        <v>6.3562393188476563E-4</v>
      </c>
      <c r="E204">
        <v>529</v>
      </c>
    </row>
    <row r="205" spans="1:5" x14ac:dyDescent="0.45">
      <c r="A205" t="s">
        <v>8</v>
      </c>
      <c r="B205" t="s">
        <v>6</v>
      </c>
      <c r="C205">
        <v>4</v>
      </c>
      <c r="D205">
        <v>3.0279159545898438E-4</v>
      </c>
      <c r="E205">
        <v>239</v>
      </c>
    </row>
    <row r="206" spans="1:5" x14ac:dyDescent="0.45">
      <c r="A206" t="s">
        <v>8</v>
      </c>
      <c r="B206" t="s">
        <v>6</v>
      </c>
      <c r="C206">
        <v>5</v>
      </c>
      <c r="D206">
        <v>6.5159797668457031E-4</v>
      </c>
      <c r="E206">
        <v>356</v>
      </c>
    </row>
    <row r="207" spans="1:5" x14ac:dyDescent="0.45">
      <c r="A207" t="s">
        <v>8</v>
      </c>
      <c r="B207" t="s">
        <v>6</v>
      </c>
      <c r="C207">
        <v>6</v>
      </c>
      <c r="D207">
        <v>2.9730796813964838E-4</v>
      </c>
      <c r="E207">
        <v>233</v>
      </c>
    </row>
    <row r="208" spans="1:5" x14ac:dyDescent="0.45">
      <c r="A208" t="s">
        <v>8</v>
      </c>
      <c r="B208" t="s">
        <v>6</v>
      </c>
      <c r="C208">
        <v>7</v>
      </c>
      <c r="D208">
        <v>6.0224533081054688E-4</v>
      </c>
      <c r="E208">
        <v>436</v>
      </c>
    </row>
    <row r="209" spans="1:5" x14ac:dyDescent="0.45">
      <c r="A209" t="s">
        <v>8</v>
      </c>
      <c r="B209" t="s">
        <v>6</v>
      </c>
      <c r="C209">
        <v>8</v>
      </c>
      <c r="D209">
        <v>5.4893970489501953E-2</v>
      </c>
      <c r="E209">
        <v>47034</v>
      </c>
    </row>
    <row r="210" spans="1:5" x14ac:dyDescent="0.45">
      <c r="A210" t="s">
        <v>8</v>
      </c>
      <c r="B210" t="s">
        <v>6</v>
      </c>
      <c r="C210">
        <v>9</v>
      </c>
      <c r="D210">
        <v>6.4778327941894531E-4</v>
      </c>
      <c r="E210">
        <v>444</v>
      </c>
    </row>
    <row r="211" spans="1:5" x14ac:dyDescent="0.45">
      <c r="A211" t="s">
        <v>8</v>
      </c>
      <c r="B211" t="s">
        <v>6</v>
      </c>
      <c r="C211">
        <v>10</v>
      </c>
      <c r="D211">
        <v>1.8877983093261721E-3</v>
      </c>
      <c r="E211">
        <v>1314</v>
      </c>
    </row>
    <row r="212" spans="1:5" x14ac:dyDescent="0.45">
      <c r="A212" t="s">
        <v>8</v>
      </c>
      <c r="B212" t="s">
        <v>6</v>
      </c>
      <c r="C212">
        <v>11</v>
      </c>
      <c r="D212">
        <v>1.257896423339844E-3</v>
      </c>
      <c r="E212">
        <v>862</v>
      </c>
    </row>
    <row r="213" spans="1:5" x14ac:dyDescent="0.45">
      <c r="A213" t="s">
        <v>8</v>
      </c>
      <c r="B213" t="s">
        <v>6</v>
      </c>
      <c r="C213">
        <v>12</v>
      </c>
      <c r="D213">
        <v>3.833770751953125E-4</v>
      </c>
      <c r="E213">
        <v>303</v>
      </c>
    </row>
    <row r="214" spans="1:5" x14ac:dyDescent="0.45">
      <c r="A214" t="s">
        <v>8</v>
      </c>
      <c r="B214" t="s">
        <v>6</v>
      </c>
      <c r="C214">
        <v>13</v>
      </c>
      <c r="D214">
        <v>4.730224609375E-4</v>
      </c>
      <c r="E214">
        <v>292</v>
      </c>
    </row>
    <row r="215" spans="1:5" x14ac:dyDescent="0.45">
      <c r="A215" t="s">
        <v>8</v>
      </c>
      <c r="B215" t="s">
        <v>6</v>
      </c>
      <c r="C215">
        <v>14</v>
      </c>
      <c r="D215">
        <v>3.7908554077148438E-4</v>
      </c>
      <c r="E215">
        <v>275</v>
      </c>
    </row>
    <row r="216" spans="1:5" x14ac:dyDescent="0.45">
      <c r="A216" t="s">
        <v>8</v>
      </c>
      <c r="B216" t="s">
        <v>6</v>
      </c>
      <c r="C216">
        <v>15</v>
      </c>
      <c r="D216">
        <v>5.7888031005859375E-4</v>
      </c>
      <c r="E216">
        <v>502</v>
      </c>
    </row>
    <row r="217" spans="1:5" x14ac:dyDescent="0.45">
      <c r="A217" t="s">
        <v>8</v>
      </c>
      <c r="B217" t="s">
        <v>6</v>
      </c>
      <c r="C217">
        <v>16</v>
      </c>
      <c r="D217">
        <v>2.9778480529785162E-4</v>
      </c>
      <c r="E217">
        <v>221</v>
      </c>
    </row>
    <row r="218" spans="1:5" x14ac:dyDescent="0.45">
      <c r="A218" t="s">
        <v>8</v>
      </c>
      <c r="B218" t="s">
        <v>6</v>
      </c>
      <c r="C218">
        <v>17</v>
      </c>
      <c r="D218">
        <v>3.328323364257812E-4</v>
      </c>
      <c r="E218">
        <v>251</v>
      </c>
    </row>
    <row r="219" spans="1:5" x14ac:dyDescent="0.45">
      <c r="A219" t="s">
        <v>8</v>
      </c>
      <c r="B219" t="s">
        <v>6</v>
      </c>
      <c r="C219">
        <v>18</v>
      </c>
      <c r="D219">
        <v>1.2643337249755859E-3</v>
      </c>
      <c r="E219">
        <v>1072</v>
      </c>
    </row>
    <row r="220" spans="1:5" x14ac:dyDescent="0.45">
      <c r="A220" t="s">
        <v>8</v>
      </c>
      <c r="B220" t="s">
        <v>6</v>
      </c>
      <c r="C220">
        <v>19</v>
      </c>
      <c r="D220">
        <v>2.6679039001464838E-4</v>
      </c>
      <c r="E220">
        <v>207</v>
      </c>
    </row>
    <row r="221" spans="1:5" x14ac:dyDescent="0.45">
      <c r="A221" t="s">
        <v>8</v>
      </c>
      <c r="B221" t="s">
        <v>6</v>
      </c>
      <c r="C221">
        <v>20</v>
      </c>
      <c r="D221">
        <v>2.9110908508300781E-4</v>
      </c>
      <c r="E221">
        <v>220</v>
      </c>
    </row>
    <row r="222" spans="1:5" x14ac:dyDescent="0.45">
      <c r="A222" t="s">
        <v>8</v>
      </c>
      <c r="B222" t="s">
        <v>6</v>
      </c>
      <c r="C222">
        <v>21</v>
      </c>
      <c r="D222">
        <v>3.2739639282226558E-3</v>
      </c>
      <c r="E222">
        <v>2837</v>
      </c>
    </row>
    <row r="223" spans="1:5" x14ac:dyDescent="0.45">
      <c r="A223" t="s">
        <v>8</v>
      </c>
      <c r="B223" t="s">
        <v>6</v>
      </c>
      <c r="C223">
        <v>22</v>
      </c>
      <c r="D223">
        <v>4.606246948242188E-4</v>
      </c>
      <c r="E223">
        <v>246</v>
      </c>
    </row>
    <row r="224" spans="1:5" x14ac:dyDescent="0.45">
      <c r="A224" t="s">
        <v>8</v>
      </c>
      <c r="B224" t="s">
        <v>6</v>
      </c>
      <c r="C224">
        <v>23</v>
      </c>
      <c r="D224">
        <v>3.5357475280761719E-4</v>
      </c>
      <c r="E224">
        <v>264</v>
      </c>
    </row>
    <row r="225" spans="1:5" x14ac:dyDescent="0.45">
      <c r="A225" t="s">
        <v>8</v>
      </c>
      <c r="B225" t="s">
        <v>6</v>
      </c>
      <c r="C225">
        <v>24</v>
      </c>
      <c r="D225">
        <v>2.9420852661132813E-4</v>
      </c>
      <c r="E225">
        <v>225</v>
      </c>
    </row>
    <row r="226" spans="1:5" x14ac:dyDescent="0.45">
      <c r="A226" t="s">
        <v>8</v>
      </c>
      <c r="B226" t="s">
        <v>6</v>
      </c>
      <c r="C226">
        <v>25</v>
      </c>
      <c r="D226">
        <v>4.9281120300292969E-4</v>
      </c>
      <c r="E226">
        <v>360</v>
      </c>
    </row>
    <row r="227" spans="1:5" x14ac:dyDescent="0.45">
      <c r="A227" t="s">
        <v>8</v>
      </c>
      <c r="B227" t="s">
        <v>6</v>
      </c>
      <c r="C227">
        <v>26</v>
      </c>
      <c r="D227">
        <v>2.6082992553710938E-4</v>
      </c>
      <c r="E227">
        <v>207</v>
      </c>
    </row>
    <row r="228" spans="1:5" x14ac:dyDescent="0.45">
      <c r="A228" t="s">
        <v>8</v>
      </c>
      <c r="B228" t="s">
        <v>6</v>
      </c>
      <c r="C228">
        <v>27</v>
      </c>
      <c r="D228">
        <v>4.1460990905761719E-4</v>
      </c>
      <c r="E228">
        <v>299</v>
      </c>
    </row>
    <row r="229" spans="1:5" x14ac:dyDescent="0.45">
      <c r="A229" t="s">
        <v>8</v>
      </c>
      <c r="B229" t="s">
        <v>6</v>
      </c>
      <c r="C229">
        <v>28</v>
      </c>
      <c r="D229">
        <v>8.3327293395996094E-4</v>
      </c>
      <c r="E229">
        <v>703</v>
      </c>
    </row>
    <row r="230" spans="1:5" x14ac:dyDescent="0.45">
      <c r="A230" t="s">
        <v>8</v>
      </c>
      <c r="B230" t="s">
        <v>6</v>
      </c>
      <c r="C230">
        <v>29</v>
      </c>
      <c r="D230">
        <v>8.2254409790039063E-4</v>
      </c>
      <c r="E230">
        <v>682</v>
      </c>
    </row>
    <row r="231" spans="1:5" x14ac:dyDescent="0.45">
      <c r="A231" t="s">
        <v>8</v>
      </c>
      <c r="B231" t="s">
        <v>6</v>
      </c>
      <c r="C231">
        <v>30</v>
      </c>
      <c r="D231">
        <v>5.3501129150390625E-4</v>
      </c>
      <c r="E231">
        <v>422</v>
      </c>
    </row>
    <row r="232" spans="1:5" x14ac:dyDescent="0.45">
      <c r="A232" t="s">
        <v>8</v>
      </c>
      <c r="B232" t="s">
        <v>6</v>
      </c>
      <c r="C232">
        <v>31</v>
      </c>
      <c r="D232">
        <v>3.366470336914062E-4</v>
      </c>
      <c r="E232">
        <v>249</v>
      </c>
    </row>
    <row r="233" spans="1:5" x14ac:dyDescent="0.45">
      <c r="A233" t="s">
        <v>8</v>
      </c>
      <c r="B233" t="s">
        <v>6</v>
      </c>
      <c r="C233">
        <v>32</v>
      </c>
      <c r="D233">
        <v>3.2830238342285162E-4</v>
      </c>
      <c r="E233">
        <v>252</v>
      </c>
    </row>
    <row r="234" spans="1:5" x14ac:dyDescent="0.45">
      <c r="A234" t="s">
        <v>8</v>
      </c>
      <c r="B234" t="s">
        <v>6</v>
      </c>
      <c r="C234">
        <v>33</v>
      </c>
      <c r="D234">
        <v>3.1423568725585938E-4</v>
      </c>
      <c r="E234">
        <v>252</v>
      </c>
    </row>
    <row r="235" spans="1:5" x14ac:dyDescent="0.45">
      <c r="A235" t="s">
        <v>8</v>
      </c>
      <c r="B235" t="s">
        <v>6</v>
      </c>
      <c r="C235">
        <v>34</v>
      </c>
      <c r="D235">
        <v>7.4481964111328125E-4</v>
      </c>
      <c r="E235">
        <v>482</v>
      </c>
    </row>
    <row r="236" spans="1:5" x14ac:dyDescent="0.45">
      <c r="A236" t="s">
        <v>8</v>
      </c>
      <c r="B236" t="s">
        <v>6</v>
      </c>
      <c r="C236">
        <v>35</v>
      </c>
      <c r="D236">
        <v>3.0636787414550781E-4</v>
      </c>
      <c r="E236">
        <v>238</v>
      </c>
    </row>
    <row r="237" spans="1:5" x14ac:dyDescent="0.45">
      <c r="A237" t="s">
        <v>8</v>
      </c>
      <c r="B237" t="s">
        <v>6</v>
      </c>
      <c r="C237">
        <v>36</v>
      </c>
      <c r="D237">
        <v>8.0347061157226563E-4</v>
      </c>
      <c r="E237">
        <v>607</v>
      </c>
    </row>
    <row r="238" spans="1:5" x14ac:dyDescent="0.45">
      <c r="A238" t="s">
        <v>8</v>
      </c>
      <c r="B238" t="s">
        <v>6</v>
      </c>
      <c r="C238">
        <v>37</v>
      </c>
      <c r="D238">
        <v>8.983612060546875E-4</v>
      </c>
      <c r="E238">
        <v>667</v>
      </c>
    </row>
    <row r="239" spans="1:5" x14ac:dyDescent="0.45">
      <c r="A239" t="s">
        <v>8</v>
      </c>
      <c r="B239" t="s">
        <v>6</v>
      </c>
      <c r="C239">
        <v>38</v>
      </c>
      <c r="D239">
        <v>4.0555000305175781E-4</v>
      </c>
      <c r="E239">
        <v>341</v>
      </c>
    </row>
    <row r="240" spans="1:5" x14ac:dyDescent="0.45">
      <c r="A240" t="s">
        <v>8</v>
      </c>
      <c r="B240" t="s">
        <v>6</v>
      </c>
      <c r="C240">
        <v>39</v>
      </c>
      <c r="D240">
        <v>7.0238113403320313E-4</v>
      </c>
      <c r="E240">
        <v>529</v>
      </c>
    </row>
    <row r="241" spans="1:5" x14ac:dyDescent="0.45">
      <c r="A241" t="s">
        <v>8</v>
      </c>
      <c r="B241" t="s">
        <v>6</v>
      </c>
      <c r="C241">
        <v>40</v>
      </c>
      <c r="D241">
        <v>3.2854080200195313E-4</v>
      </c>
      <c r="E241">
        <v>263</v>
      </c>
    </row>
    <row r="242" spans="1:5" x14ac:dyDescent="0.45">
      <c r="A242" t="s">
        <v>8</v>
      </c>
      <c r="B242" t="s">
        <v>6</v>
      </c>
      <c r="C242">
        <v>41</v>
      </c>
      <c r="D242">
        <v>5.6099891662597656E-4</v>
      </c>
      <c r="E242">
        <v>246</v>
      </c>
    </row>
    <row r="243" spans="1:5" x14ac:dyDescent="0.45">
      <c r="A243" t="s">
        <v>8</v>
      </c>
      <c r="B243" t="s">
        <v>6</v>
      </c>
      <c r="C243">
        <v>42</v>
      </c>
      <c r="D243">
        <v>8.2826614379882813E-4</v>
      </c>
      <c r="E243">
        <v>666</v>
      </c>
    </row>
    <row r="244" spans="1:5" x14ac:dyDescent="0.45">
      <c r="A244" t="s">
        <v>8</v>
      </c>
      <c r="B244" t="s">
        <v>6</v>
      </c>
      <c r="C244">
        <v>43</v>
      </c>
      <c r="D244">
        <v>1.9171237945556641E-3</v>
      </c>
      <c r="E244">
        <v>1572</v>
      </c>
    </row>
    <row r="245" spans="1:5" x14ac:dyDescent="0.45">
      <c r="A245" t="s">
        <v>8</v>
      </c>
      <c r="B245" t="s">
        <v>6</v>
      </c>
      <c r="C245">
        <v>44</v>
      </c>
      <c r="D245">
        <v>3.5166740417480469E-4</v>
      </c>
      <c r="E245">
        <v>281</v>
      </c>
    </row>
    <row r="246" spans="1:5" x14ac:dyDescent="0.45">
      <c r="A246" t="s">
        <v>8</v>
      </c>
      <c r="B246" t="s">
        <v>6</v>
      </c>
      <c r="C246">
        <v>45</v>
      </c>
      <c r="D246">
        <v>6.2406063079833976E-3</v>
      </c>
      <c r="E246">
        <v>5425</v>
      </c>
    </row>
    <row r="247" spans="1:5" x14ac:dyDescent="0.45">
      <c r="A247" t="s">
        <v>8</v>
      </c>
      <c r="B247" t="s">
        <v>6</v>
      </c>
      <c r="C247">
        <v>46</v>
      </c>
      <c r="D247">
        <v>1.7800331115722661E-3</v>
      </c>
      <c r="E247">
        <v>1385</v>
      </c>
    </row>
    <row r="248" spans="1:5" x14ac:dyDescent="0.45">
      <c r="A248" t="s">
        <v>8</v>
      </c>
      <c r="B248" t="s">
        <v>6</v>
      </c>
      <c r="C248">
        <v>47</v>
      </c>
      <c r="D248">
        <v>1.073122024536133E-3</v>
      </c>
      <c r="E248">
        <v>806</v>
      </c>
    </row>
    <row r="249" spans="1:5" x14ac:dyDescent="0.45">
      <c r="A249" t="s">
        <v>8</v>
      </c>
      <c r="B249" t="s">
        <v>6</v>
      </c>
      <c r="C249">
        <v>48</v>
      </c>
      <c r="D249">
        <v>1.056671142578125E-3</v>
      </c>
      <c r="E249">
        <v>860</v>
      </c>
    </row>
    <row r="250" spans="1:5" x14ac:dyDescent="0.45">
      <c r="A250" t="s">
        <v>8</v>
      </c>
      <c r="B250" t="s">
        <v>6</v>
      </c>
      <c r="C250">
        <v>49</v>
      </c>
      <c r="D250">
        <v>1.132965087890625E-3</v>
      </c>
      <c r="E250">
        <v>977</v>
      </c>
    </row>
    <row r="251" spans="1:5" x14ac:dyDescent="0.45">
      <c r="A251" t="s">
        <v>8</v>
      </c>
      <c r="B251" t="s">
        <v>6</v>
      </c>
      <c r="C251">
        <v>50</v>
      </c>
      <c r="D251">
        <v>3.194808959960938E-4</v>
      </c>
      <c r="E251">
        <v>253</v>
      </c>
    </row>
    <row r="252" spans="1:5" x14ac:dyDescent="0.45">
      <c r="A252" t="s">
        <v>8</v>
      </c>
      <c r="B252" t="s">
        <v>6</v>
      </c>
      <c r="C252">
        <v>51</v>
      </c>
      <c r="D252">
        <v>3.3509731292724609E-3</v>
      </c>
      <c r="E252">
        <v>2792</v>
      </c>
    </row>
    <row r="253" spans="1:5" x14ac:dyDescent="0.45">
      <c r="A253" t="s">
        <v>8</v>
      </c>
      <c r="B253" t="s">
        <v>6</v>
      </c>
      <c r="C253">
        <v>52</v>
      </c>
      <c r="D253">
        <v>2.8061866760253912E-4</v>
      </c>
      <c r="E253">
        <v>226</v>
      </c>
    </row>
    <row r="254" spans="1:5" x14ac:dyDescent="0.45">
      <c r="A254" t="s">
        <v>8</v>
      </c>
      <c r="B254" t="s">
        <v>6</v>
      </c>
      <c r="C254">
        <v>53</v>
      </c>
      <c r="D254">
        <v>3.1399726867675781E-4</v>
      </c>
      <c r="E254">
        <v>236</v>
      </c>
    </row>
    <row r="255" spans="1:5" x14ac:dyDescent="0.45">
      <c r="A255" t="s">
        <v>8</v>
      </c>
      <c r="B255" t="s">
        <v>6</v>
      </c>
      <c r="C255">
        <v>54</v>
      </c>
      <c r="D255">
        <v>6.1774253845214844E-4</v>
      </c>
      <c r="E255">
        <v>503</v>
      </c>
    </row>
    <row r="256" spans="1:5" x14ac:dyDescent="0.45">
      <c r="A256" t="s">
        <v>8</v>
      </c>
      <c r="B256" t="s">
        <v>6</v>
      </c>
      <c r="C256">
        <v>55</v>
      </c>
      <c r="D256">
        <v>4.100799560546875E-4</v>
      </c>
      <c r="E256">
        <v>318</v>
      </c>
    </row>
    <row r="257" spans="1:5" x14ac:dyDescent="0.45">
      <c r="A257" t="s">
        <v>8</v>
      </c>
      <c r="B257" t="s">
        <v>6</v>
      </c>
      <c r="C257">
        <v>56</v>
      </c>
      <c r="D257">
        <v>8.1944465637207031E-4</v>
      </c>
      <c r="E257">
        <v>656</v>
      </c>
    </row>
    <row r="258" spans="1:5" x14ac:dyDescent="0.45">
      <c r="A258" t="s">
        <v>8</v>
      </c>
      <c r="B258" t="s">
        <v>6</v>
      </c>
      <c r="C258">
        <v>57</v>
      </c>
      <c r="D258">
        <v>3.023147583007812E-4</v>
      </c>
      <c r="E258">
        <v>233</v>
      </c>
    </row>
    <row r="259" spans="1:5" x14ac:dyDescent="0.45">
      <c r="A259" t="s">
        <v>8</v>
      </c>
      <c r="B259" t="s">
        <v>6</v>
      </c>
      <c r="C259">
        <v>58</v>
      </c>
      <c r="D259">
        <v>2.5725364685058588E-4</v>
      </c>
      <c r="E259">
        <v>195</v>
      </c>
    </row>
    <row r="260" spans="1:5" x14ac:dyDescent="0.45">
      <c r="A260" t="s">
        <v>8</v>
      </c>
      <c r="B260" t="s">
        <v>6</v>
      </c>
      <c r="C260">
        <v>59</v>
      </c>
      <c r="D260">
        <v>3.757476806640625E-4</v>
      </c>
      <c r="E260">
        <v>297</v>
      </c>
    </row>
    <row r="261" spans="1:5" x14ac:dyDescent="0.45">
      <c r="A261" t="s">
        <v>8</v>
      </c>
      <c r="B261" t="s">
        <v>6</v>
      </c>
      <c r="C261">
        <v>60</v>
      </c>
      <c r="D261">
        <v>2.3546218872070308E-3</v>
      </c>
      <c r="E261">
        <v>1961</v>
      </c>
    </row>
    <row r="262" spans="1:5" x14ac:dyDescent="0.45">
      <c r="A262" t="s">
        <v>8</v>
      </c>
      <c r="B262" t="s">
        <v>6</v>
      </c>
      <c r="C262">
        <v>61</v>
      </c>
      <c r="D262">
        <v>5.5074691772460938E-4</v>
      </c>
      <c r="E262">
        <v>359</v>
      </c>
    </row>
    <row r="263" spans="1:5" x14ac:dyDescent="0.45">
      <c r="A263" t="s">
        <v>8</v>
      </c>
      <c r="B263" t="s">
        <v>6</v>
      </c>
      <c r="C263">
        <v>62</v>
      </c>
      <c r="D263">
        <v>1.5885829925537109E-3</v>
      </c>
      <c r="E263">
        <v>1071</v>
      </c>
    </row>
    <row r="264" spans="1:5" x14ac:dyDescent="0.45">
      <c r="A264" t="s">
        <v>8</v>
      </c>
      <c r="B264" t="s">
        <v>6</v>
      </c>
      <c r="C264">
        <v>63</v>
      </c>
      <c r="D264">
        <v>1.73187255859375E-3</v>
      </c>
      <c r="E264">
        <v>1222</v>
      </c>
    </row>
    <row r="265" spans="1:5" x14ac:dyDescent="0.45">
      <c r="A265" t="s">
        <v>8</v>
      </c>
      <c r="B265" t="s">
        <v>6</v>
      </c>
      <c r="C265">
        <v>64</v>
      </c>
      <c r="D265">
        <v>8.1467628479003906E-4</v>
      </c>
      <c r="E265">
        <v>600</v>
      </c>
    </row>
    <row r="266" spans="1:5" x14ac:dyDescent="0.45">
      <c r="A266" t="s">
        <v>8</v>
      </c>
      <c r="B266" t="s">
        <v>6</v>
      </c>
      <c r="C266">
        <v>65</v>
      </c>
      <c r="D266">
        <v>6.4206123352050781E-4</v>
      </c>
      <c r="E266">
        <v>479</v>
      </c>
    </row>
    <row r="267" spans="1:5" x14ac:dyDescent="0.45">
      <c r="A267" t="s">
        <v>8</v>
      </c>
      <c r="B267" t="s">
        <v>6</v>
      </c>
      <c r="C267">
        <v>66</v>
      </c>
      <c r="D267">
        <v>1.0476112365722661E-3</v>
      </c>
      <c r="E267">
        <v>861</v>
      </c>
    </row>
    <row r="268" spans="1:5" x14ac:dyDescent="0.45">
      <c r="A268" t="s">
        <v>8</v>
      </c>
      <c r="B268" t="s">
        <v>6</v>
      </c>
      <c r="C268">
        <v>67</v>
      </c>
      <c r="D268">
        <v>2.9015541076660162E-4</v>
      </c>
      <c r="E268">
        <v>217</v>
      </c>
    </row>
    <row r="269" spans="1:5" x14ac:dyDescent="0.45">
      <c r="A269" t="s">
        <v>8</v>
      </c>
      <c r="B269" t="s">
        <v>6</v>
      </c>
      <c r="C269">
        <v>68</v>
      </c>
      <c r="D269">
        <v>5.5718421936035156E-4</v>
      </c>
      <c r="E269">
        <v>406</v>
      </c>
    </row>
    <row r="270" spans="1:5" x14ac:dyDescent="0.45">
      <c r="A270" t="s">
        <v>8</v>
      </c>
      <c r="B270" t="s">
        <v>6</v>
      </c>
      <c r="C270">
        <v>69</v>
      </c>
      <c r="D270">
        <v>1.667976379394531E-3</v>
      </c>
      <c r="E270">
        <v>1411</v>
      </c>
    </row>
    <row r="271" spans="1:5" x14ac:dyDescent="0.45">
      <c r="A271" t="s">
        <v>8</v>
      </c>
      <c r="B271" t="s">
        <v>6</v>
      </c>
      <c r="C271">
        <v>70</v>
      </c>
      <c r="D271">
        <v>6.5240859985351563E-3</v>
      </c>
      <c r="E271">
        <v>4829</v>
      </c>
    </row>
    <row r="272" spans="1:5" x14ac:dyDescent="0.45">
      <c r="A272" t="s">
        <v>8</v>
      </c>
      <c r="B272" t="s">
        <v>6</v>
      </c>
      <c r="C272">
        <v>71</v>
      </c>
      <c r="D272">
        <v>4.8756599426269531E-4</v>
      </c>
      <c r="E272">
        <v>321</v>
      </c>
    </row>
    <row r="273" spans="1:5" x14ac:dyDescent="0.45">
      <c r="A273" t="s">
        <v>8</v>
      </c>
      <c r="B273" t="s">
        <v>6</v>
      </c>
      <c r="C273">
        <v>72</v>
      </c>
      <c r="D273">
        <v>6.0558319091796875E-4</v>
      </c>
      <c r="E273">
        <v>453</v>
      </c>
    </row>
    <row r="274" spans="1:5" x14ac:dyDescent="0.45">
      <c r="A274" t="s">
        <v>8</v>
      </c>
      <c r="B274" t="s">
        <v>6</v>
      </c>
      <c r="C274">
        <v>73</v>
      </c>
      <c r="D274">
        <v>8.373260498046875E-4</v>
      </c>
      <c r="E274">
        <v>623</v>
      </c>
    </row>
    <row r="275" spans="1:5" x14ac:dyDescent="0.45">
      <c r="A275" t="s">
        <v>8</v>
      </c>
      <c r="B275" t="s">
        <v>6</v>
      </c>
      <c r="C275">
        <v>74</v>
      </c>
      <c r="D275">
        <v>7.1978569030761719E-4</v>
      </c>
      <c r="E275">
        <v>556</v>
      </c>
    </row>
    <row r="276" spans="1:5" x14ac:dyDescent="0.45">
      <c r="A276" t="s">
        <v>8</v>
      </c>
      <c r="B276" t="s">
        <v>6</v>
      </c>
      <c r="C276">
        <v>75</v>
      </c>
      <c r="D276">
        <v>5.2666664123535156E-4</v>
      </c>
      <c r="E276">
        <v>403</v>
      </c>
    </row>
    <row r="277" spans="1:5" x14ac:dyDescent="0.45">
      <c r="A277" t="s">
        <v>8</v>
      </c>
      <c r="B277" t="s">
        <v>6</v>
      </c>
      <c r="C277">
        <v>76</v>
      </c>
      <c r="D277">
        <v>3.1208992004394531E-4</v>
      </c>
      <c r="E277">
        <v>188</v>
      </c>
    </row>
    <row r="278" spans="1:5" x14ac:dyDescent="0.45">
      <c r="A278" t="s">
        <v>8</v>
      </c>
      <c r="B278" t="s">
        <v>6</v>
      </c>
      <c r="C278">
        <v>77</v>
      </c>
      <c r="D278">
        <v>7.20977783203125E-4</v>
      </c>
      <c r="E278">
        <v>458</v>
      </c>
    </row>
    <row r="279" spans="1:5" x14ac:dyDescent="0.45">
      <c r="A279" t="s">
        <v>8</v>
      </c>
      <c r="B279" t="s">
        <v>6</v>
      </c>
      <c r="C279">
        <v>78</v>
      </c>
      <c r="D279">
        <v>4.7254562377929688E-4</v>
      </c>
      <c r="E279">
        <v>363</v>
      </c>
    </row>
    <row r="280" spans="1:5" x14ac:dyDescent="0.45">
      <c r="A280" t="s">
        <v>8</v>
      </c>
      <c r="B280" t="s">
        <v>6</v>
      </c>
      <c r="C280">
        <v>79</v>
      </c>
      <c r="D280">
        <v>4.0936470031738281E-4</v>
      </c>
      <c r="E280">
        <v>320</v>
      </c>
    </row>
    <row r="281" spans="1:5" x14ac:dyDescent="0.45">
      <c r="A281" t="s">
        <v>8</v>
      </c>
      <c r="B281" t="s">
        <v>6</v>
      </c>
      <c r="C281">
        <v>80</v>
      </c>
      <c r="D281">
        <v>2.5796890258789063E-4</v>
      </c>
      <c r="E281">
        <v>199</v>
      </c>
    </row>
    <row r="282" spans="1:5" x14ac:dyDescent="0.45">
      <c r="A282" t="s">
        <v>8</v>
      </c>
      <c r="B282" t="s">
        <v>6</v>
      </c>
      <c r="C282">
        <v>81</v>
      </c>
      <c r="D282">
        <v>2.803802490234375E-4</v>
      </c>
      <c r="E282">
        <v>229</v>
      </c>
    </row>
    <row r="283" spans="1:5" x14ac:dyDescent="0.45">
      <c r="A283" t="s">
        <v>8</v>
      </c>
      <c r="B283" t="s">
        <v>6</v>
      </c>
      <c r="C283">
        <v>82</v>
      </c>
      <c r="D283">
        <v>3.7264823913574219E-4</v>
      </c>
      <c r="E283">
        <v>293</v>
      </c>
    </row>
    <row r="284" spans="1:5" x14ac:dyDescent="0.45">
      <c r="A284" t="s">
        <v>8</v>
      </c>
      <c r="B284" t="s">
        <v>6</v>
      </c>
      <c r="C284">
        <v>83</v>
      </c>
      <c r="D284">
        <v>2.9039382934570313E-4</v>
      </c>
      <c r="E284">
        <v>217</v>
      </c>
    </row>
    <row r="285" spans="1:5" x14ac:dyDescent="0.45">
      <c r="A285" t="s">
        <v>8</v>
      </c>
      <c r="B285" t="s">
        <v>6</v>
      </c>
      <c r="C285">
        <v>84</v>
      </c>
      <c r="D285">
        <v>2.193093299865723E-2</v>
      </c>
      <c r="E285">
        <v>16197</v>
      </c>
    </row>
    <row r="286" spans="1:5" x14ac:dyDescent="0.45">
      <c r="A286" t="s">
        <v>8</v>
      </c>
      <c r="B286" t="s">
        <v>6</v>
      </c>
      <c r="C286">
        <v>85</v>
      </c>
      <c r="D286">
        <v>1.0361671447753911E-3</v>
      </c>
      <c r="E286">
        <v>799</v>
      </c>
    </row>
    <row r="287" spans="1:5" x14ac:dyDescent="0.45">
      <c r="A287" t="s">
        <v>8</v>
      </c>
      <c r="B287" t="s">
        <v>6</v>
      </c>
      <c r="C287">
        <v>86</v>
      </c>
      <c r="D287">
        <v>3.5238265991210938E-4</v>
      </c>
      <c r="E287">
        <v>270</v>
      </c>
    </row>
    <row r="288" spans="1:5" x14ac:dyDescent="0.45">
      <c r="A288" t="s">
        <v>8</v>
      </c>
      <c r="B288" t="s">
        <v>6</v>
      </c>
      <c r="C288">
        <v>87</v>
      </c>
      <c r="D288">
        <v>6.1535835266113281E-4</v>
      </c>
      <c r="E288">
        <v>456</v>
      </c>
    </row>
    <row r="289" spans="1:5" x14ac:dyDescent="0.45">
      <c r="A289" t="s">
        <v>8</v>
      </c>
      <c r="B289" t="s">
        <v>6</v>
      </c>
      <c r="C289">
        <v>88</v>
      </c>
      <c r="D289">
        <v>6.8306922912597656E-4</v>
      </c>
      <c r="E289">
        <v>503</v>
      </c>
    </row>
    <row r="290" spans="1:5" x14ac:dyDescent="0.45">
      <c r="A290" t="s">
        <v>8</v>
      </c>
      <c r="B290" t="s">
        <v>6</v>
      </c>
      <c r="C290">
        <v>89</v>
      </c>
      <c r="D290">
        <v>7.6937675476074219E-4</v>
      </c>
      <c r="E290">
        <v>638</v>
      </c>
    </row>
    <row r="291" spans="1:5" x14ac:dyDescent="0.45">
      <c r="A291" t="s">
        <v>8</v>
      </c>
      <c r="B291" t="s">
        <v>6</v>
      </c>
      <c r="C291">
        <v>90</v>
      </c>
      <c r="D291">
        <v>2.395391464233398E-3</v>
      </c>
      <c r="E291">
        <v>2076</v>
      </c>
    </row>
    <row r="292" spans="1:5" x14ac:dyDescent="0.45">
      <c r="A292" t="s">
        <v>8</v>
      </c>
      <c r="B292" t="s">
        <v>6</v>
      </c>
      <c r="C292">
        <v>91</v>
      </c>
      <c r="D292">
        <v>2.9754638671875E-4</v>
      </c>
      <c r="E292">
        <v>232</v>
      </c>
    </row>
    <row r="293" spans="1:5" x14ac:dyDescent="0.45">
      <c r="A293" t="s">
        <v>8</v>
      </c>
      <c r="B293" t="s">
        <v>6</v>
      </c>
      <c r="C293">
        <v>92</v>
      </c>
      <c r="D293">
        <v>2.5391578674316412E-4</v>
      </c>
      <c r="E293">
        <v>202</v>
      </c>
    </row>
    <row r="294" spans="1:5" x14ac:dyDescent="0.45">
      <c r="A294" t="s">
        <v>8</v>
      </c>
      <c r="B294" t="s">
        <v>6</v>
      </c>
      <c r="C294">
        <v>93</v>
      </c>
      <c r="D294">
        <v>3.8764476776123051E-3</v>
      </c>
      <c r="E294">
        <v>3215</v>
      </c>
    </row>
    <row r="295" spans="1:5" x14ac:dyDescent="0.45">
      <c r="A295" t="s">
        <v>8</v>
      </c>
      <c r="B295" t="s">
        <v>6</v>
      </c>
      <c r="C295">
        <v>94</v>
      </c>
      <c r="D295">
        <v>2.5010108947753912E-4</v>
      </c>
      <c r="E295">
        <v>195</v>
      </c>
    </row>
    <row r="296" spans="1:5" x14ac:dyDescent="0.45">
      <c r="A296" t="s">
        <v>8</v>
      </c>
      <c r="B296" t="s">
        <v>6</v>
      </c>
      <c r="C296">
        <v>95</v>
      </c>
      <c r="D296">
        <v>1.2825727462768549E-2</v>
      </c>
      <c r="E296">
        <v>10732</v>
      </c>
    </row>
    <row r="297" spans="1:5" x14ac:dyDescent="0.45">
      <c r="A297" t="s">
        <v>8</v>
      </c>
      <c r="B297" t="s">
        <v>6</v>
      </c>
      <c r="C297">
        <v>96</v>
      </c>
      <c r="D297">
        <v>4.0555000305175781E-4</v>
      </c>
      <c r="E297">
        <v>272</v>
      </c>
    </row>
    <row r="298" spans="1:5" x14ac:dyDescent="0.45">
      <c r="A298" t="s">
        <v>8</v>
      </c>
      <c r="B298" t="s">
        <v>6</v>
      </c>
      <c r="C298">
        <v>97</v>
      </c>
      <c r="D298">
        <v>3.7717819213867192E-3</v>
      </c>
      <c r="E298">
        <v>3006</v>
      </c>
    </row>
    <row r="299" spans="1:5" x14ac:dyDescent="0.45">
      <c r="A299" t="s">
        <v>8</v>
      </c>
      <c r="B299" t="s">
        <v>6</v>
      </c>
      <c r="C299">
        <v>98</v>
      </c>
      <c r="D299">
        <v>6.2775611877441406E-4</v>
      </c>
      <c r="E299">
        <v>427</v>
      </c>
    </row>
    <row r="300" spans="1:5" x14ac:dyDescent="0.45">
      <c r="A300" t="s">
        <v>8</v>
      </c>
      <c r="B300" t="s">
        <v>6</v>
      </c>
      <c r="C300">
        <v>99</v>
      </c>
      <c r="D300">
        <v>3.8218498229980469E-4</v>
      </c>
      <c r="E300">
        <v>281</v>
      </c>
    </row>
    <row r="301" spans="1:5" x14ac:dyDescent="0.45">
      <c r="A301" t="s">
        <v>8</v>
      </c>
      <c r="B301" t="s">
        <v>6</v>
      </c>
      <c r="C301">
        <v>100</v>
      </c>
      <c r="D301">
        <v>5.3191184997558594E-4</v>
      </c>
      <c r="E301">
        <v>424</v>
      </c>
    </row>
    <row r="302" spans="1:5" x14ac:dyDescent="0.45">
      <c r="A302" t="s">
        <v>8</v>
      </c>
      <c r="B302" t="s">
        <v>7</v>
      </c>
      <c r="C302">
        <v>1</v>
      </c>
      <c r="D302">
        <v>2.9358863830566411E-3</v>
      </c>
      <c r="E302">
        <v>44</v>
      </c>
    </row>
    <row r="303" spans="1:5" x14ac:dyDescent="0.45">
      <c r="A303" t="s">
        <v>8</v>
      </c>
      <c r="B303" t="s">
        <v>7</v>
      </c>
      <c r="C303">
        <v>2</v>
      </c>
      <c r="D303">
        <v>3.2927989959716801E-3</v>
      </c>
      <c r="E303">
        <v>50</v>
      </c>
    </row>
    <row r="304" spans="1:5" x14ac:dyDescent="0.45">
      <c r="A304" t="s">
        <v>8</v>
      </c>
      <c r="B304" t="s">
        <v>7</v>
      </c>
      <c r="C304">
        <v>3</v>
      </c>
      <c r="D304">
        <v>2.4437904357910161E-3</v>
      </c>
      <c r="E304">
        <v>37</v>
      </c>
    </row>
    <row r="305" spans="1:5" x14ac:dyDescent="0.45">
      <c r="A305" t="s">
        <v>8</v>
      </c>
      <c r="B305" t="s">
        <v>7</v>
      </c>
      <c r="C305">
        <v>4</v>
      </c>
      <c r="D305">
        <v>2.6633739471435551E-3</v>
      </c>
      <c r="E305">
        <v>38</v>
      </c>
    </row>
    <row r="306" spans="1:5" x14ac:dyDescent="0.45">
      <c r="A306" t="s">
        <v>8</v>
      </c>
      <c r="B306" t="s">
        <v>7</v>
      </c>
      <c r="C306">
        <v>5</v>
      </c>
      <c r="D306">
        <v>4.3015480041503906E-3</v>
      </c>
      <c r="E306">
        <v>65</v>
      </c>
    </row>
    <row r="307" spans="1:5" x14ac:dyDescent="0.45">
      <c r="A307" t="s">
        <v>8</v>
      </c>
      <c r="B307" t="s">
        <v>7</v>
      </c>
      <c r="C307">
        <v>6</v>
      </c>
      <c r="D307">
        <v>2.528905868530273E-3</v>
      </c>
      <c r="E307">
        <v>37</v>
      </c>
    </row>
    <row r="308" spans="1:5" x14ac:dyDescent="0.45">
      <c r="A308" t="s">
        <v>8</v>
      </c>
      <c r="B308" t="s">
        <v>7</v>
      </c>
      <c r="C308">
        <v>7</v>
      </c>
      <c r="D308">
        <v>3.757715225219727E-3</v>
      </c>
      <c r="E308">
        <v>47</v>
      </c>
    </row>
    <row r="309" spans="1:5" x14ac:dyDescent="0.45">
      <c r="A309" t="s">
        <v>8</v>
      </c>
      <c r="B309" t="s">
        <v>7</v>
      </c>
      <c r="C309">
        <v>8</v>
      </c>
      <c r="D309">
        <v>4.9932003021240226E-3</v>
      </c>
      <c r="E309">
        <v>65</v>
      </c>
    </row>
    <row r="310" spans="1:5" x14ac:dyDescent="0.45">
      <c r="A310" t="s">
        <v>8</v>
      </c>
      <c r="B310" t="s">
        <v>7</v>
      </c>
      <c r="C310">
        <v>9</v>
      </c>
      <c r="D310">
        <v>2.8586387634277339E-3</v>
      </c>
      <c r="E310">
        <v>43</v>
      </c>
    </row>
    <row r="311" spans="1:5" x14ac:dyDescent="0.45">
      <c r="A311" t="s">
        <v>8</v>
      </c>
      <c r="B311" t="s">
        <v>7</v>
      </c>
      <c r="C311">
        <v>10</v>
      </c>
      <c r="D311">
        <v>3.5851001739501949E-3</v>
      </c>
      <c r="E311">
        <v>49</v>
      </c>
    </row>
    <row r="312" spans="1:5" x14ac:dyDescent="0.45">
      <c r="A312" t="s">
        <v>8</v>
      </c>
      <c r="B312" t="s">
        <v>7</v>
      </c>
      <c r="C312">
        <v>11</v>
      </c>
      <c r="D312">
        <v>3.1344890594482422E-3</v>
      </c>
      <c r="E312">
        <v>43</v>
      </c>
    </row>
    <row r="313" spans="1:5" x14ac:dyDescent="0.45">
      <c r="A313" t="s">
        <v>8</v>
      </c>
      <c r="B313" t="s">
        <v>7</v>
      </c>
      <c r="C313">
        <v>12</v>
      </c>
      <c r="D313">
        <v>2.95257568359375E-3</v>
      </c>
      <c r="E313">
        <v>42</v>
      </c>
    </row>
    <row r="314" spans="1:5" x14ac:dyDescent="0.45">
      <c r="A314" t="s">
        <v>8</v>
      </c>
      <c r="B314" t="s">
        <v>7</v>
      </c>
      <c r="C314">
        <v>13</v>
      </c>
      <c r="D314">
        <v>2.5491714477539058E-3</v>
      </c>
      <c r="E314">
        <v>37</v>
      </c>
    </row>
    <row r="315" spans="1:5" x14ac:dyDescent="0.45">
      <c r="A315" t="s">
        <v>8</v>
      </c>
      <c r="B315" t="s">
        <v>7</v>
      </c>
      <c r="C315">
        <v>14</v>
      </c>
      <c r="D315">
        <v>2.6500225067138672E-3</v>
      </c>
      <c r="E315">
        <v>40</v>
      </c>
    </row>
    <row r="316" spans="1:5" x14ac:dyDescent="0.45">
      <c r="A316" t="s">
        <v>8</v>
      </c>
      <c r="B316" t="s">
        <v>7</v>
      </c>
      <c r="C316">
        <v>15</v>
      </c>
      <c r="D316">
        <v>3.787994384765625E-3</v>
      </c>
      <c r="E316">
        <v>70</v>
      </c>
    </row>
    <row r="317" spans="1:5" x14ac:dyDescent="0.45">
      <c r="A317" t="s">
        <v>8</v>
      </c>
      <c r="B317" t="s">
        <v>7</v>
      </c>
      <c r="C317">
        <v>16</v>
      </c>
      <c r="D317">
        <v>5.0208568572998047E-3</v>
      </c>
      <c r="E317">
        <v>62</v>
      </c>
    </row>
    <row r="318" spans="1:5" x14ac:dyDescent="0.45">
      <c r="A318" t="s">
        <v>8</v>
      </c>
      <c r="B318" t="s">
        <v>7</v>
      </c>
      <c r="C318">
        <v>17</v>
      </c>
      <c r="D318">
        <v>3.3388137817382808E-3</v>
      </c>
      <c r="E318">
        <v>41</v>
      </c>
    </row>
    <row r="319" spans="1:5" x14ac:dyDescent="0.45">
      <c r="A319" t="s">
        <v>8</v>
      </c>
      <c r="B319" t="s">
        <v>7</v>
      </c>
      <c r="C319">
        <v>18</v>
      </c>
      <c r="D319">
        <v>4.2006969451904297E-3</v>
      </c>
      <c r="E319">
        <v>60</v>
      </c>
    </row>
    <row r="320" spans="1:5" x14ac:dyDescent="0.45">
      <c r="A320" t="s">
        <v>8</v>
      </c>
      <c r="B320" t="s">
        <v>7</v>
      </c>
      <c r="C320">
        <v>19</v>
      </c>
      <c r="D320">
        <v>2.280950546264648E-3</v>
      </c>
      <c r="E320">
        <v>37</v>
      </c>
    </row>
    <row r="321" spans="1:5" x14ac:dyDescent="0.45">
      <c r="A321" t="s">
        <v>8</v>
      </c>
      <c r="B321" t="s">
        <v>7</v>
      </c>
      <c r="C321">
        <v>20</v>
      </c>
      <c r="D321">
        <v>2.998113632202148E-3</v>
      </c>
      <c r="E321">
        <v>41</v>
      </c>
    </row>
    <row r="322" spans="1:5" x14ac:dyDescent="0.45">
      <c r="A322" t="s">
        <v>8</v>
      </c>
      <c r="B322" t="s">
        <v>7</v>
      </c>
      <c r="C322">
        <v>21</v>
      </c>
      <c r="D322">
        <v>3.5676956176757808E-3</v>
      </c>
      <c r="E322">
        <v>58</v>
      </c>
    </row>
    <row r="323" spans="1:5" x14ac:dyDescent="0.45">
      <c r="A323" t="s">
        <v>8</v>
      </c>
      <c r="B323" t="s">
        <v>7</v>
      </c>
      <c r="C323">
        <v>22</v>
      </c>
      <c r="D323">
        <v>3.2258033752441411E-3</v>
      </c>
      <c r="E323">
        <v>44</v>
      </c>
    </row>
    <row r="324" spans="1:5" x14ac:dyDescent="0.45">
      <c r="A324" t="s">
        <v>8</v>
      </c>
      <c r="B324" t="s">
        <v>7</v>
      </c>
      <c r="C324">
        <v>23</v>
      </c>
      <c r="D324">
        <v>2.9046535491943359E-3</v>
      </c>
      <c r="E324">
        <v>41</v>
      </c>
    </row>
    <row r="325" spans="1:5" x14ac:dyDescent="0.45">
      <c r="A325" t="s">
        <v>8</v>
      </c>
      <c r="B325" t="s">
        <v>7</v>
      </c>
      <c r="C325">
        <v>24</v>
      </c>
      <c r="D325">
        <v>2.872705459594727E-3</v>
      </c>
      <c r="E325">
        <v>41</v>
      </c>
    </row>
    <row r="326" spans="1:5" x14ac:dyDescent="0.45">
      <c r="A326" t="s">
        <v>8</v>
      </c>
      <c r="B326" t="s">
        <v>7</v>
      </c>
      <c r="C326">
        <v>25</v>
      </c>
      <c r="D326">
        <v>2.8793811798095699E-3</v>
      </c>
      <c r="E326">
        <v>43</v>
      </c>
    </row>
    <row r="327" spans="1:5" x14ac:dyDescent="0.45">
      <c r="A327" t="s">
        <v>8</v>
      </c>
      <c r="B327" t="s">
        <v>7</v>
      </c>
      <c r="C327">
        <v>26</v>
      </c>
      <c r="D327">
        <v>2.7017593383789058E-3</v>
      </c>
      <c r="E327">
        <v>40</v>
      </c>
    </row>
    <row r="328" spans="1:5" x14ac:dyDescent="0.45">
      <c r="A328" t="s">
        <v>8</v>
      </c>
      <c r="B328" t="s">
        <v>7</v>
      </c>
      <c r="C328">
        <v>27</v>
      </c>
      <c r="D328">
        <v>2.460241317749023E-3</v>
      </c>
      <c r="E328">
        <v>37</v>
      </c>
    </row>
    <row r="329" spans="1:5" x14ac:dyDescent="0.45">
      <c r="A329" t="s">
        <v>8</v>
      </c>
      <c r="B329" t="s">
        <v>7</v>
      </c>
      <c r="C329">
        <v>28</v>
      </c>
      <c r="D329">
        <v>2.83050537109375E-3</v>
      </c>
      <c r="E329">
        <v>45</v>
      </c>
    </row>
    <row r="330" spans="1:5" x14ac:dyDescent="0.45">
      <c r="A330" t="s">
        <v>8</v>
      </c>
      <c r="B330" t="s">
        <v>7</v>
      </c>
      <c r="C330">
        <v>29</v>
      </c>
      <c r="D330">
        <v>2.8374195098876949E-3</v>
      </c>
      <c r="E330">
        <v>39</v>
      </c>
    </row>
    <row r="331" spans="1:5" x14ac:dyDescent="0.45">
      <c r="A331" t="s">
        <v>8</v>
      </c>
      <c r="B331" t="s">
        <v>7</v>
      </c>
      <c r="C331">
        <v>30</v>
      </c>
      <c r="D331">
        <v>3.433465957641602E-3</v>
      </c>
      <c r="E331">
        <v>53</v>
      </c>
    </row>
    <row r="332" spans="1:5" x14ac:dyDescent="0.45">
      <c r="A332" t="s">
        <v>8</v>
      </c>
      <c r="B332" t="s">
        <v>7</v>
      </c>
      <c r="C332">
        <v>31</v>
      </c>
      <c r="D332">
        <v>4.0366649627685547E-3</v>
      </c>
      <c r="E332">
        <v>60</v>
      </c>
    </row>
    <row r="333" spans="1:5" x14ac:dyDescent="0.45">
      <c r="A333" t="s">
        <v>8</v>
      </c>
      <c r="B333" t="s">
        <v>7</v>
      </c>
      <c r="C333">
        <v>32</v>
      </c>
      <c r="D333">
        <v>3.1807422637939449E-3</v>
      </c>
      <c r="E333">
        <v>50</v>
      </c>
    </row>
    <row r="334" spans="1:5" x14ac:dyDescent="0.45">
      <c r="A334" t="s">
        <v>8</v>
      </c>
      <c r="B334" t="s">
        <v>7</v>
      </c>
      <c r="C334">
        <v>33</v>
      </c>
      <c r="D334">
        <v>3.3392906188964839E-3</v>
      </c>
      <c r="E334">
        <v>40</v>
      </c>
    </row>
    <row r="335" spans="1:5" x14ac:dyDescent="0.45">
      <c r="A335" t="s">
        <v>8</v>
      </c>
      <c r="B335" t="s">
        <v>7</v>
      </c>
      <c r="C335">
        <v>34</v>
      </c>
      <c r="D335">
        <v>2.6602745056152339E-3</v>
      </c>
      <c r="E335">
        <v>40</v>
      </c>
    </row>
    <row r="336" spans="1:5" x14ac:dyDescent="0.45">
      <c r="A336" t="s">
        <v>8</v>
      </c>
      <c r="B336" t="s">
        <v>7</v>
      </c>
      <c r="C336">
        <v>35</v>
      </c>
      <c r="D336">
        <v>2.876043319702148E-3</v>
      </c>
      <c r="E336">
        <v>41</v>
      </c>
    </row>
    <row r="337" spans="1:5" x14ac:dyDescent="0.45">
      <c r="A337" t="s">
        <v>8</v>
      </c>
      <c r="B337" t="s">
        <v>7</v>
      </c>
      <c r="C337">
        <v>36</v>
      </c>
      <c r="D337">
        <v>3.520727157592773E-3</v>
      </c>
      <c r="E337">
        <v>43</v>
      </c>
    </row>
    <row r="338" spans="1:5" x14ac:dyDescent="0.45">
      <c r="A338" t="s">
        <v>8</v>
      </c>
      <c r="B338" t="s">
        <v>7</v>
      </c>
      <c r="C338">
        <v>37</v>
      </c>
      <c r="D338">
        <v>3.6799907684326172E-3</v>
      </c>
      <c r="E338">
        <v>59</v>
      </c>
    </row>
    <row r="339" spans="1:5" x14ac:dyDescent="0.45">
      <c r="A339" t="s">
        <v>8</v>
      </c>
      <c r="B339" t="s">
        <v>7</v>
      </c>
      <c r="C339">
        <v>38</v>
      </c>
      <c r="D339">
        <v>2.5768280029296879E-3</v>
      </c>
      <c r="E339">
        <v>39</v>
      </c>
    </row>
    <row r="340" spans="1:5" x14ac:dyDescent="0.45">
      <c r="A340" t="s">
        <v>8</v>
      </c>
      <c r="B340" t="s">
        <v>7</v>
      </c>
      <c r="C340">
        <v>39</v>
      </c>
      <c r="D340">
        <v>2.8355121612548828E-3</v>
      </c>
      <c r="E340">
        <v>41</v>
      </c>
    </row>
    <row r="341" spans="1:5" x14ac:dyDescent="0.45">
      <c r="A341" t="s">
        <v>8</v>
      </c>
      <c r="B341" t="s">
        <v>7</v>
      </c>
      <c r="C341">
        <v>40</v>
      </c>
      <c r="D341">
        <v>3.9310455322265616E-3</v>
      </c>
      <c r="E341">
        <v>50</v>
      </c>
    </row>
    <row r="342" spans="1:5" x14ac:dyDescent="0.45">
      <c r="A342" t="s">
        <v>8</v>
      </c>
      <c r="B342" t="s">
        <v>7</v>
      </c>
      <c r="C342">
        <v>41</v>
      </c>
      <c r="D342">
        <v>3.2179355621337891E-3</v>
      </c>
      <c r="E342">
        <v>45</v>
      </c>
    </row>
    <row r="343" spans="1:5" x14ac:dyDescent="0.45">
      <c r="A343" t="s">
        <v>8</v>
      </c>
      <c r="B343" t="s">
        <v>7</v>
      </c>
      <c r="C343">
        <v>42</v>
      </c>
      <c r="D343">
        <v>4.7814846038818359E-3</v>
      </c>
      <c r="E343">
        <v>58</v>
      </c>
    </row>
    <row r="344" spans="1:5" x14ac:dyDescent="0.45">
      <c r="A344" t="s">
        <v>8</v>
      </c>
      <c r="B344" t="s">
        <v>7</v>
      </c>
      <c r="C344">
        <v>43</v>
      </c>
      <c r="D344">
        <v>3.9172172546386719E-3</v>
      </c>
      <c r="E344">
        <v>55</v>
      </c>
    </row>
    <row r="345" spans="1:5" x14ac:dyDescent="0.45">
      <c r="A345" t="s">
        <v>8</v>
      </c>
      <c r="B345" t="s">
        <v>7</v>
      </c>
      <c r="C345">
        <v>44</v>
      </c>
      <c r="D345">
        <v>2.8164386749267578E-3</v>
      </c>
      <c r="E345">
        <v>43</v>
      </c>
    </row>
    <row r="346" spans="1:5" x14ac:dyDescent="0.45">
      <c r="A346" t="s">
        <v>8</v>
      </c>
      <c r="B346" t="s">
        <v>7</v>
      </c>
      <c r="C346">
        <v>45</v>
      </c>
      <c r="D346">
        <v>4.2541027069091797E-3</v>
      </c>
      <c r="E346">
        <v>46</v>
      </c>
    </row>
    <row r="347" spans="1:5" x14ac:dyDescent="0.45">
      <c r="A347" t="s">
        <v>8</v>
      </c>
      <c r="B347" t="s">
        <v>7</v>
      </c>
      <c r="C347">
        <v>46</v>
      </c>
      <c r="D347">
        <v>6.4876079559326172E-3</v>
      </c>
      <c r="E347">
        <v>84</v>
      </c>
    </row>
    <row r="348" spans="1:5" x14ac:dyDescent="0.45">
      <c r="A348" t="s">
        <v>8</v>
      </c>
      <c r="B348" t="s">
        <v>7</v>
      </c>
      <c r="C348">
        <v>47</v>
      </c>
      <c r="D348">
        <v>3.2105445861816411E-3</v>
      </c>
      <c r="E348">
        <v>45</v>
      </c>
    </row>
    <row r="349" spans="1:5" x14ac:dyDescent="0.45">
      <c r="A349" t="s">
        <v>8</v>
      </c>
      <c r="B349" t="s">
        <v>7</v>
      </c>
      <c r="C349">
        <v>48</v>
      </c>
      <c r="D349">
        <v>3.0727386474609379E-3</v>
      </c>
      <c r="E349">
        <v>43</v>
      </c>
    </row>
    <row r="350" spans="1:5" x14ac:dyDescent="0.45">
      <c r="A350" t="s">
        <v>8</v>
      </c>
      <c r="B350" t="s">
        <v>7</v>
      </c>
      <c r="C350">
        <v>49</v>
      </c>
      <c r="D350">
        <v>3.6649703979492192E-3</v>
      </c>
      <c r="E350">
        <v>46</v>
      </c>
    </row>
    <row r="351" spans="1:5" x14ac:dyDescent="0.45">
      <c r="A351" t="s">
        <v>8</v>
      </c>
      <c r="B351" t="s">
        <v>7</v>
      </c>
      <c r="C351">
        <v>50</v>
      </c>
      <c r="D351">
        <v>2.7287006378173828E-3</v>
      </c>
      <c r="E351">
        <v>39</v>
      </c>
    </row>
    <row r="352" spans="1:5" x14ac:dyDescent="0.45">
      <c r="A352" t="s">
        <v>8</v>
      </c>
      <c r="B352" t="s">
        <v>7</v>
      </c>
      <c r="C352">
        <v>51</v>
      </c>
      <c r="D352">
        <v>5.4600238800048828E-3</v>
      </c>
      <c r="E352">
        <v>48</v>
      </c>
    </row>
    <row r="353" spans="1:5" x14ac:dyDescent="0.45">
      <c r="A353" t="s">
        <v>8</v>
      </c>
      <c r="B353" t="s">
        <v>7</v>
      </c>
      <c r="C353">
        <v>52</v>
      </c>
      <c r="D353">
        <v>2.9389858245849609E-3</v>
      </c>
      <c r="E353">
        <v>37</v>
      </c>
    </row>
    <row r="354" spans="1:5" x14ac:dyDescent="0.45">
      <c r="A354" t="s">
        <v>8</v>
      </c>
      <c r="B354" t="s">
        <v>7</v>
      </c>
      <c r="C354">
        <v>53</v>
      </c>
      <c r="D354">
        <v>3.7508010864257808E-3</v>
      </c>
      <c r="E354">
        <v>47</v>
      </c>
    </row>
    <row r="355" spans="1:5" x14ac:dyDescent="0.45">
      <c r="A355" t="s">
        <v>8</v>
      </c>
      <c r="B355" t="s">
        <v>7</v>
      </c>
      <c r="C355">
        <v>54</v>
      </c>
      <c r="D355">
        <v>2.7573108673095699E-3</v>
      </c>
      <c r="E355">
        <v>38</v>
      </c>
    </row>
    <row r="356" spans="1:5" x14ac:dyDescent="0.45">
      <c r="A356" t="s">
        <v>8</v>
      </c>
      <c r="B356" t="s">
        <v>7</v>
      </c>
      <c r="C356">
        <v>55</v>
      </c>
      <c r="D356">
        <v>4.5955181121826172E-3</v>
      </c>
      <c r="E356">
        <v>68</v>
      </c>
    </row>
    <row r="357" spans="1:5" x14ac:dyDescent="0.45">
      <c r="A357" t="s">
        <v>8</v>
      </c>
      <c r="B357" t="s">
        <v>7</v>
      </c>
      <c r="C357">
        <v>56</v>
      </c>
      <c r="D357">
        <v>3.0498504638671879E-3</v>
      </c>
      <c r="E357">
        <v>44</v>
      </c>
    </row>
    <row r="358" spans="1:5" x14ac:dyDescent="0.45">
      <c r="A358" t="s">
        <v>8</v>
      </c>
      <c r="B358" t="s">
        <v>7</v>
      </c>
      <c r="C358">
        <v>57</v>
      </c>
      <c r="D358">
        <v>2.605199813842773E-3</v>
      </c>
      <c r="E358">
        <v>40</v>
      </c>
    </row>
    <row r="359" spans="1:5" x14ac:dyDescent="0.45">
      <c r="A359" t="s">
        <v>8</v>
      </c>
      <c r="B359" t="s">
        <v>7</v>
      </c>
      <c r="C359">
        <v>58</v>
      </c>
      <c r="D359">
        <v>2.3357868194580078E-3</v>
      </c>
      <c r="E359">
        <v>36</v>
      </c>
    </row>
    <row r="360" spans="1:5" x14ac:dyDescent="0.45">
      <c r="A360" t="s">
        <v>8</v>
      </c>
      <c r="B360" t="s">
        <v>7</v>
      </c>
      <c r="C360">
        <v>59</v>
      </c>
      <c r="D360">
        <v>2.4361610412597661E-3</v>
      </c>
      <c r="E360">
        <v>37</v>
      </c>
    </row>
    <row r="361" spans="1:5" x14ac:dyDescent="0.45">
      <c r="A361" t="s">
        <v>8</v>
      </c>
      <c r="B361" t="s">
        <v>7</v>
      </c>
      <c r="C361">
        <v>60</v>
      </c>
      <c r="D361">
        <v>5.283355712890625E-3</v>
      </c>
      <c r="E361">
        <v>65</v>
      </c>
    </row>
    <row r="362" spans="1:5" x14ac:dyDescent="0.45">
      <c r="A362" t="s">
        <v>8</v>
      </c>
      <c r="B362" t="s">
        <v>7</v>
      </c>
      <c r="C362">
        <v>61</v>
      </c>
      <c r="D362">
        <v>3.1330585479736328E-3</v>
      </c>
      <c r="E362">
        <v>45</v>
      </c>
    </row>
    <row r="363" spans="1:5" x14ac:dyDescent="0.45">
      <c r="A363" t="s">
        <v>8</v>
      </c>
      <c r="B363" t="s">
        <v>7</v>
      </c>
      <c r="C363">
        <v>62</v>
      </c>
      <c r="D363">
        <v>3.4539699554443359E-3</v>
      </c>
      <c r="E363">
        <v>41</v>
      </c>
    </row>
    <row r="364" spans="1:5" x14ac:dyDescent="0.45">
      <c r="A364" t="s">
        <v>8</v>
      </c>
      <c r="B364" t="s">
        <v>7</v>
      </c>
      <c r="C364">
        <v>63</v>
      </c>
      <c r="D364">
        <v>4.8880577087402344E-3</v>
      </c>
      <c r="E364">
        <v>64</v>
      </c>
    </row>
    <row r="365" spans="1:5" x14ac:dyDescent="0.45">
      <c r="A365" t="s">
        <v>8</v>
      </c>
      <c r="B365" t="s">
        <v>7</v>
      </c>
      <c r="C365">
        <v>64</v>
      </c>
      <c r="D365">
        <v>2.7554035186767578E-3</v>
      </c>
      <c r="E365">
        <v>39</v>
      </c>
    </row>
    <row r="366" spans="1:5" x14ac:dyDescent="0.45">
      <c r="A366" t="s">
        <v>8</v>
      </c>
      <c r="B366" t="s">
        <v>7</v>
      </c>
      <c r="C366">
        <v>65</v>
      </c>
      <c r="D366">
        <v>2.849817276000977E-3</v>
      </c>
      <c r="E366">
        <v>40</v>
      </c>
    </row>
    <row r="367" spans="1:5" x14ac:dyDescent="0.45">
      <c r="A367" t="s">
        <v>8</v>
      </c>
      <c r="B367" t="s">
        <v>7</v>
      </c>
      <c r="C367">
        <v>66</v>
      </c>
      <c r="D367">
        <v>3.3907890319824219E-3</v>
      </c>
      <c r="E367">
        <v>41</v>
      </c>
    </row>
    <row r="368" spans="1:5" x14ac:dyDescent="0.45">
      <c r="A368" t="s">
        <v>8</v>
      </c>
      <c r="B368" t="s">
        <v>7</v>
      </c>
      <c r="C368">
        <v>67</v>
      </c>
      <c r="D368">
        <v>4.9970149993896476E-3</v>
      </c>
      <c r="E368">
        <v>63</v>
      </c>
    </row>
    <row r="369" spans="1:5" x14ac:dyDescent="0.45">
      <c r="A369" t="s">
        <v>8</v>
      </c>
      <c r="B369" t="s">
        <v>7</v>
      </c>
      <c r="C369">
        <v>68</v>
      </c>
      <c r="D369">
        <v>3.5281181335449219E-3</v>
      </c>
      <c r="E369">
        <v>45</v>
      </c>
    </row>
    <row r="370" spans="1:5" x14ac:dyDescent="0.45">
      <c r="A370" t="s">
        <v>8</v>
      </c>
      <c r="B370" t="s">
        <v>7</v>
      </c>
      <c r="C370">
        <v>69</v>
      </c>
      <c r="D370">
        <v>3.5917758941650391E-3</v>
      </c>
      <c r="E370">
        <v>46</v>
      </c>
    </row>
    <row r="371" spans="1:5" x14ac:dyDescent="0.45">
      <c r="A371" t="s">
        <v>8</v>
      </c>
      <c r="B371" t="s">
        <v>7</v>
      </c>
      <c r="C371">
        <v>70</v>
      </c>
      <c r="D371">
        <v>3.2520294189453121E-3</v>
      </c>
      <c r="E371">
        <v>44</v>
      </c>
    </row>
    <row r="372" spans="1:5" x14ac:dyDescent="0.45">
      <c r="A372" t="s">
        <v>8</v>
      </c>
      <c r="B372" t="s">
        <v>7</v>
      </c>
      <c r="C372">
        <v>71</v>
      </c>
      <c r="D372">
        <v>3.7684440612792969E-3</v>
      </c>
      <c r="E372">
        <v>58</v>
      </c>
    </row>
    <row r="373" spans="1:5" x14ac:dyDescent="0.45">
      <c r="A373" t="s">
        <v>8</v>
      </c>
      <c r="B373" t="s">
        <v>7</v>
      </c>
      <c r="C373">
        <v>72</v>
      </c>
      <c r="D373">
        <v>3.3047199249267578E-3</v>
      </c>
      <c r="E373">
        <v>44</v>
      </c>
    </row>
    <row r="374" spans="1:5" x14ac:dyDescent="0.45">
      <c r="A374" t="s">
        <v>8</v>
      </c>
      <c r="B374" t="s">
        <v>7</v>
      </c>
      <c r="C374">
        <v>73</v>
      </c>
      <c r="D374">
        <v>4.3399333953857422E-3</v>
      </c>
      <c r="E374">
        <v>63</v>
      </c>
    </row>
    <row r="375" spans="1:5" x14ac:dyDescent="0.45">
      <c r="A375" t="s">
        <v>8</v>
      </c>
      <c r="B375" t="s">
        <v>7</v>
      </c>
      <c r="C375">
        <v>74</v>
      </c>
      <c r="D375">
        <v>2.3899078369140621E-3</v>
      </c>
      <c r="E375">
        <v>37</v>
      </c>
    </row>
    <row r="376" spans="1:5" x14ac:dyDescent="0.45">
      <c r="A376" t="s">
        <v>8</v>
      </c>
      <c r="B376" t="s">
        <v>7</v>
      </c>
      <c r="C376">
        <v>75</v>
      </c>
      <c r="D376">
        <v>2.3591518402099609E-3</v>
      </c>
      <c r="E376">
        <v>36</v>
      </c>
    </row>
    <row r="377" spans="1:5" x14ac:dyDescent="0.45">
      <c r="A377" t="s">
        <v>8</v>
      </c>
      <c r="B377" t="s">
        <v>7</v>
      </c>
      <c r="C377">
        <v>76</v>
      </c>
      <c r="D377">
        <v>2.5696754455566411E-3</v>
      </c>
      <c r="E377">
        <v>39</v>
      </c>
    </row>
    <row r="378" spans="1:5" x14ac:dyDescent="0.45">
      <c r="A378" t="s">
        <v>8</v>
      </c>
      <c r="B378" t="s">
        <v>7</v>
      </c>
      <c r="C378">
        <v>77</v>
      </c>
      <c r="D378">
        <v>2.7720928192138672E-3</v>
      </c>
      <c r="E378">
        <v>38</v>
      </c>
    </row>
    <row r="379" spans="1:5" x14ac:dyDescent="0.45">
      <c r="A379" t="s">
        <v>8</v>
      </c>
      <c r="B379" t="s">
        <v>7</v>
      </c>
      <c r="C379">
        <v>78</v>
      </c>
      <c r="D379">
        <v>3.1936168670654301E-3</v>
      </c>
      <c r="E379">
        <v>55</v>
      </c>
    </row>
    <row r="380" spans="1:5" x14ac:dyDescent="0.45">
      <c r="A380" t="s">
        <v>8</v>
      </c>
      <c r="B380" t="s">
        <v>7</v>
      </c>
      <c r="C380">
        <v>79</v>
      </c>
      <c r="D380">
        <v>3.7620067596435551E-3</v>
      </c>
      <c r="E380">
        <v>61</v>
      </c>
    </row>
    <row r="381" spans="1:5" x14ac:dyDescent="0.45">
      <c r="A381" t="s">
        <v>8</v>
      </c>
      <c r="B381" t="s">
        <v>7</v>
      </c>
      <c r="C381">
        <v>80</v>
      </c>
      <c r="D381">
        <v>2.7825832366943359E-3</v>
      </c>
      <c r="E381">
        <v>39</v>
      </c>
    </row>
    <row r="382" spans="1:5" x14ac:dyDescent="0.45">
      <c r="A382" t="s">
        <v>8</v>
      </c>
      <c r="B382" t="s">
        <v>7</v>
      </c>
      <c r="C382">
        <v>81</v>
      </c>
      <c r="D382">
        <v>2.2859573364257808E-3</v>
      </c>
      <c r="E382">
        <v>39</v>
      </c>
    </row>
    <row r="383" spans="1:5" x14ac:dyDescent="0.45">
      <c r="A383" t="s">
        <v>8</v>
      </c>
      <c r="B383" t="s">
        <v>7</v>
      </c>
      <c r="C383">
        <v>82</v>
      </c>
      <c r="D383">
        <v>3.1597614288330078E-3</v>
      </c>
      <c r="E383">
        <v>40</v>
      </c>
    </row>
    <row r="384" spans="1:5" x14ac:dyDescent="0.45">
      <c r="A384" t="s">
        <v>8</v>
      </c>
      <c r="B384" t="s">
        <v>7</v>
      </c>
      <c r="C384">
        <v>83</v>
      </c>
      <c r="D384">
        <v>2.2518634796142578E-3</v>
      </c>
      <c r="E384">
        <v>36</v>
      </c>
    </row>
    <row r="385" spans="1:5" x14ac:dyDescent="0.45">
      <c r="A385" t="s">
        <v>8</v>
      </c>
      <c r="B385" t="s">
        <v>7</v>
      </c>
      <c r="C385">
        <v>84</v>
      </c>
      <c r="D385">
        <v>3.0829906463623051E-3</v>
      </c>
      <c r="E385">
        <v>41</v>
      </c>
    </row>
    <row r="386" spans="1:5" x14ac:dyDescent="0.45">
      <c r="A386" t="s">
        <v>8</v>
      </c>
      <c r="B386" t="s">
        <v>7</v>
      </c>
      <c r="C386">
        <v>85</v>
      </c>
      <c r="D386">
        <v>3.463506698608398E-3</v>
      </c>
      <c r="E386">
        <v>44</v>
      </c>
    </row>
    <row r="387" spans="1:5" x14ac:dyDescent="0.45">
      <c r="A387" t="s">
        <v>8</v>
      </c>
      <c r="B387" t="s">
        <v>7</v>
      </c>
      <c r="C387">
        <v>86</v>
      </c>
      <c r="D387">
        <v>2.7179718017578121E-3</v>
      </c>
      <c r="E387">
        <v>37</v>
      </c>
    </row>
    <row r="388" spans="1:5" x14ac:dyDescent="0.45">
      <c r="A388" t="s">
        <v>8</v>
      </c>
      <c r="B388" t="s">
        <v>7</v>
      </c>
      <c r="C388">
        <v>87</v>
      </c>
      <c r="D388">
        <v>3.3860206604003911E-3</v>
      </c>
      <c r="E388">
        <v>46</v>
      </c>
    </row>
    <row r="389" spans="1:5" x14ac:dyDescent="0.45">
      <c r="A389" t="s">
        <v>8</v>
      </c>
      <c r="B389" t="s">
        <v>7</v>
      </c>
      <c r="C389">
        <v>88</v>
      </c>
      <c r="D389">
        <v>3.5257339477539058E-3</v>
      </c>
      <c r="E389">
        <v>52</v>
      </c>
    </row>
    <row r="390" spans="1:5" x14ac:dyDescent="0.45">
      <c r="A390" t="s">
        <v>8</v>
      </c>
      <c r="B390" t="s">
        <v>7</v>
      </c>
      <c r="C390">
        <v>89</v>
      </c>
      <c r="D390">
        <v>3.2436847686767578E-3</v>
      </c>
      <c r="E390">
        <v>43</v>
      </c>
    </row>
    <row r="391" spans="1:5" x14ac:dyDescent="0.45">
      <c r="A391" t="s">
        <v>8</v>
      </c>
      <c r="B391" t="s">
        <v>7</v>
      </c>
      <c r="C391">
        <v>90</v>
      </c>
      <c r="D391">
        <v>4.085540771484375E-3</v>
      </c>
      <c r="E391">
        <v>53</v>
      </c>
    </row>
    <row r="392" spans="1:5" x14ac:dyDescent="0.45">
      <c r="A392" t="s">
        <v>8</v>
      </c>
      <c r="B392" t="s">
        <v>7</v>
      </c>
      <c r="C392">
        <v>91</v>
      </c>
      <c r="D392">
        <v>3.5521984100341801E-3</v>
      </c>
      <c r="E392">
        <v>52</v>
      </c>
    </row>
    <row r="393" spans="1:5" x14ac:dyDescent="0.45">
      <c r="A393" t="s">
        <v>8</v>
      </c>
      <c r="B393" t="s">
        <v>7</v>
      </c>
      <c r="C393">
        <v>92</v>
      </c>
      <c r="D393">
        <v>2.5439262390136719E-3</v>
      </c>
      <c r="E393">
        <v>38</v>
      </c>
    </row>
    <row r="394" spans="1:5" x14ac:dyDescent="0.45">
      <c r="A394" t="s">
        <v>8</v>
      </c>
      <c r="B394" t="s">
        <v>7</v>
      </c>
      <c r="C394">
        <v>93</v>
      </c>
      <c r="D394">
        <v>3.1559467315673828E-3</v>
      </c>
      <c r="E394">
        <v>50</v>
      </c>
    </row>
    <row r="395" spans="1:5" x14ac:dyDescent="0.45">
      <c r="A395" t="s">
        <v>8</v>
      </c>
      <c r="B395" t="s">
        <v>7</v>
      </c>
      <c r="C395">
        <v>94</v>
      </c>
      <c r="D395">
        <v>2.5534629821777339E-3</v>
      </c>
      <c r="E395">
        <v>37</v>
      </c>
    </row>
    <row r="396" spans="1:5" x14ac:dyDescent="0.45">
      <c r="A396" t="s">
        <v>8</v>
      </c>
      <c r="B396" t="s">
        <v>7</v>
      </c>
      <c r="C396">
        <v>95</v>
      </c>
      <c r="D396">
        <v>4.6365261077880859E-3</v>
      </c>
      <c r="E396">
        <v>74</v>
      </c>
    </row>
    <row r="397" spans="1:5" x14ac:dyDescent="0.45">
      <c r="A397" t="s">
        <v>8</v>
      </c>
      <c r="B397" t="s">
        <v>7</v>
      </c>
      <c r="C397">
        <v>96</v>
      </c>
      <c r="D397">
        <v>3.4019947052001949E-3</v>
      </c>
      <c r="E397">
        <v>44</v>
      </c>
    </row>
    <row r="398" spans="1:5" x14ac:dyDescent="0.45">
      <c r="A398" t="s">
        <v>8</v>
      </c>
      <c r="B398" t="s">
        <v>7</v>
      </c>
      <c r="C398">
        <v>97</v>
      </c>
      <c r="D398">
        <v>4.9436092376708976E-3</v>
      </c>
      <c r="E398">
        <v>62</v>
      </c>
    </row>
    <row r="399" spans="1:5" x14ac:dyDescent="0.45">
      <c r="A399" t="s">
        <v>8</v>
      </c>
      <c r="B399" t="s">
        <v>7</v>
      </c>
      <c r="C399">
        <v>98</v>
      </c>
      <c r="D399">
        <v>3.9923191070556641E-3</v>
      </c>
      <c r="E399">
        <v>60</v>
      </c>
    </row>
    <row r="400" spans="1:5" x14ac:dyDescent="0.45">
      <c r="A400" t="s">
        <v>8</v>
      </c>
      <c r="B400" t="s">
        <v>7</v>
      </c>
      <c r="C400">
        <v>99</v>
      </c>
      <c r="D400">
        <v>4.5018196105957031E-3</v>
      </c>
      <c r="E400">
        <v>65</v>
      </c>
    </row>
    <row r="401" spans="1:5" x14ac:dyDescent="0.45">
      <c r="A401" t="s">
        <v>8</v>
      </c>
      <c r="B401" t="s">
        <v>7</v>
      </c>
      <c r="C401">
        <v>100</v>
      </c>
      <c r="D401">
        <v>3.8464069366455078E-3</v>
      </c>
      <c r="E401">
        <v>56</v>
      </c>
    </row>
    <row r="402" spans="1:5" x14ac:dyDescent="0.45">
      <c r="A402" t="s">
        <v>9</v>
      </c>
      <c r="B402" t="s">
        <v>6</v>
      </c>
      <c r="C402">
        <v>1</v>
      </c>
      <c r="D402">
        <v>1.3487339019775391E-3</v>
      </c>
      <c r="E402">
        <v>977</v>
      </c>
    </row>
    <row r="403" spans="1:5" x14ac:dyDescent="0.45">
      <c r="A403" t="s">
        <v>9</v>
      </c>
      <c r="B403" t="s">
        <v>6</v>
      </c>
      <c r="C403">
        <v>2</v>
      </c>
      <c r="D403">
        <v>5.3966045379638672E-3</v>
      </c>
      <c r="E403">
        <v>4273</v>
      </c>
    </row>
    <row r="404" spans="1:5" x14ac:dyDescent="0.45">
      <c r="A404" t="s">
        <v>9</v>
      </c>
      <c r="B404" t="s">
        <v>6</v>
      </c>
      <c r="C404">
        <v>3</v>
      </c>
      <c r="D404">
        <v>7.2078704833984384E-3</v>
      </c>
      <c r="E404">
        <v>5773</v>
      </c>
    </row>
    <row r="405" spans="1:5" x14ac:dyDescent="0.45">
      <c r="A405" t="s">
        <v>9</v>
      </c>
      <c r="B405" t="s">
        <v>6</v>
      </c>
      <c r="C405">
        <v>4</v>
      </c>
      <c r="D405">
        <v>3.1455278396606452E-2</v>
      </c>
      <c r="E405">
        <v>21991</v>
      </c>
    </row>
    <row r="406" spans="1:5" x14ac:dyDescent="0.45">
      <c r="A406" t="s">
        <v>9</v>
      </c>
      <c r="B406" t="s">
        <v>6</v>
      </c>
      <c r="C406">
        <v>5</v>
      </c>
      <c r="D406">
        <v>5.0306320190429688E-4</v>
      </c>
      <c r="E406">
        <v>382</v>
      </c>
    </row>
    <row r="407" spans="1:5" x14ac:dyDescent="0.45">
      <c r="A407" t="s">
        <v>9</v>
      </c>
      <c r="B407" t="s">
        <v>6</v>
      </c>
      <c r="C407">
        <v>6</v>
      </c>
      <c r="D407">
        <v>8.2731246948242188E-4</v>
      </c>
      <c r="E407">
        <v>684</v>
      </c>
    </row>
    <row r="408" spans="1:5" x14ac:dyDescent="0.45">
      <c r="A408" t="s">
        <v>9</v>
      </c>
      <c r="B408" t="s">
        <v>6</v>
      </c>
      <c r="C408">
        <v>7</v>
      </c>
      <c r="D408">
        <v>1.9576549530029301E-3</v>
      </c>
      <c r="E408">
        <v>1502</v>
      </c>
    </row>
    <row r="409" spans="1:5" x14ac:dyDescent="0.45">
      <c r="A409" t="s">
        <v>9</v>
      </c>
      <c r="B409" t="s">
        <v>6</v>
      </c>
      <c r="C409">
        <v>8</v>
      </c>
      <c r="D409">
        <v>3.709793090820312E-4</v>
      </c>
      <c r="E409">
        <v>291</v>
      </c>
    </row>
    <row r="410" spans="1:5" x14ac:dyDescent="0.45">
      <c r="A410" t="s">
        <v>9</v>
      </c>
      <c r="B410" t="s">
        <v>6</v>
      </c>
      <c r="C410">
        <v>9</v>
      </c>
      <c r="D410">
        <v>4.5230388641357422E-3</v>
      </c>
      <c r="E410">
        <v>3688</v>
      </c>
    </row>
    <row r="411" spans="1:5" x14ac:dyDescent="0.45">
      <c r="A411" t="s">
        <v>9</v>
      </c>
      <c r="B411" t="s">
        <v>6</v>
      </c>
      <c r="C411">
        <v>10</v>
      </c>
      <c r="D411">
        <v>6.1440467834472656E-4</v>
      </c>
      <c r="E411">
        <v>377</v>
      </c>
    </row>
    <row r="412" spans="1:5" x14ac:dyDescent="0.45">
      <c r="A412" t="s">
        <v>9</v>
      </c>
      <c r="B412" t="s">
        <v>6</v>
      </c>
      <c r="C412">
        <v>11</v>
      </c>
      <c r="D412">
        <v>3.338098526000977E-3</v>
      </c>
      <c r="E412">
        <v>2606</v>
      </c>
    </row>
    <row r="413" spans="1:5" x14ac:dyDescent="0.45">
      <c r="A413" t="s">
        <v>9</v>
      </c>
      <c r="B413" t="s">
        <v>6</v>
      </c>
      <c r="C413">
        <v>12</v>
      </c>
      <c r="D413">
        <v>1.4860630035400391E-3</v>
      </c>
      <c r="E413">
        <v>1210</v>
      </c>
    </row>
    <row r="414" spans="1:5" x14ac:dyDescent="0.45">
      <c r="A414" t="s">
        <v>9</v>
      </c>
      <c r="B414" t="s">
        <v>6</v>
      </c>
      <c r="C414">
        <v>13</v>
      </c>
      <c r="D414">
        <v>0.10616087913513179</v>
      </c>
      <c r="E414">
        <v>88682</v>
      </c>
    </row>
    <row r="415" spans="1:5" x14ac:dyDescent="0.45">
      <c r="A415" t="s">
        <v>9</v>
      </c>
      <c r="B415" t="s">
        <v>6</v>
      </c>
      <c r="C415">
        <v>14</v>
      </c>
      <c r="D415">
        <v>0.96260952949523926</v>
      </c>
      <c r="E415">
        <v>745557</v>
      </c>
    </row>
    <row r="416" spans="1:5" x14ac:dyDescent="0.45">
      <c r="A416" t="s">
        <v>9</v>
      </c>
      <c r="B416" t="s">
        <v>6</v>
      </c>
      <c r="C416">
        <v>15</v>
      </c>
      <c r="D416">
        <v>6.256103515625E-4</v>
      </c>
      <c r="E416">
        <v>476</v>
      </c>
    </row>
    <row r="417" spans="1:5" x14ac:dyDescent="0.45">
      <c r="A417" t="s">
        <v>9</v>
      </c>
      <c r="B417" t="s">
        <v>6</v>
      </c>
      <c r="C417">
        <v>16</v>
      </c>
      <c r="D417">
        <v>7.6842308044433594E-4</v>
      </c>
      <c r="E417">
        <v>593</v>
      </c>
    </row>
    <row r="418" spans="1:5" x14ac:dyDescent="0.45">
      <c r="A418" t="s">
        <v>9</v>
      </c>
      <c r="B418" t="s">
        <v>6</v>
      </c>
      <c r="C418">
        <v>17</v>
      </c>
      <c r="D418">
        <v>6.2162876129150391E-3</v>
      </c>
      <c r="E418">
        <v>4800</v>
      </c>
    </row>
    <row r="419" spans="1:5" x14ac:dyDescent="0.45">
      <c r="A419" t="s">
        <v>9</v>
      </c>
      <c r="B419" t="s">
        <v>6</v>
      </c>
      <c r="C419">
        <v>18</v>
      </c>
      <c r="D419">
        <v>6.5517425537109375E-4</v>
      </c>
      <c r="E419">
        <v>404</v>
      </c>
    </row>
    <row r="420" spans="1:5" x14ac:dyDescent="0.45">
      <c r="A420" t="s">
        <v>9</v>
      </c>
      <c r="B420" t="s">
        <v>6</v>
      </c>
      <c r="C420">
        <v>19</v>
      </c>
      <c r="D420">
        <v>3.7376880645751949E-3</v>
      </c>
      <c r="E420">
        <v>2918</v>
      </c>
    </row>
    <row r="421" spans="1:5" x14ac:dyDescent="0.45">
      <c r="A421" t="s">
        <v>9</v>
      </c>
      <c r="B421" t="s">
        <v>6</v>
      </c>
      <c r="C421">
        <v>20</v>
      </c>
      <c r="D421">
        <v>1.014399528503418E-2</v>
      </c>
      <c r="E421">
        <v>8335</v>
      </c>
    </row>
    <row r="422" spans="1:5" x14ac:dyDescent="0.45">
      <c r="A422" t="s">
        <v>9</v>
      </c>
      <c r="B422" t="s">
        <v>6</v>
      </c>
      <c r="C422">
        <v>21</v>
      </c>
      <c r="D422">
        <v>0.12849307060241699</v>
      </c>
      <c r="E422">
        <v>111370</v>
      </c>
    </row>
    <row r="423" spans="1:5" x14ac:dyDescent="0.45">
      <c r="A423" t="s">
        <v>9</v>
      </c>
      <c r="B423" t="s">
        <v>6</v>
      </c>
      <c r="C423">
        <v>22</v>
      </c>
      <c r="D423">
        <v>5.14984130859375E-4</v>
      </c>
      <c r="E423">
        <v>305</v>
      </c>
    </row>
    <row r="424" spans="1:5" x14ac:dyDescent="0.45">
      <c r="A424" t="s">
        <v>9</v>
      </c>
      <c r="B424" t="s">
        <v>6</v>
      </c>
      <c r="C424">
        <v>23</v>
      </c>
      <c r="D424">
        <v>7.5414180755615226E-3</v>
      </c>
      <c r="E424">
        <v>5980</v>
      </c>
    </row>
    <row r="425" spans="1:5" x14ac:dyDescent="0.45">
      <c r="A425" t="s">
        <v>9</v>
      </c>
      <c r="B425" t="s">
        <v>6</v>
      </c>
      <c r="C425">
        <v>24</v>
      </c>
      <c r="D425">
        <v>7.9023361206054688E-2</v>
      </c>
      <c r="E425">
        <v>63995</v>
      </c>
    </row>
    <row r="426" spans="1:5" x14ac:dyDescent="0.45">
      <c r="A426" t="s">
        <v>9</v>
      </c>
      <c r="B426" t="s">
        <v>6</v>
      </c>
      <c r="C426">
        <v>25</v>
      </c>
      <c r="D426">
        <v>4.0709972381591797E-3</v>
      </c>
      <c r="E426">
        <v>2465</v>
      </c>
    </row>
    <row r="427" spans="1:5" x14ac:dyDescent="0.45">
      <c r="A427" t="s">
        <v>9</v>
      </c>
      <c r="B427" t="s">
        <v>6</v>
      </c>
      <c r="C427">
        <v>26</v>
      </c>
      <c r="D427">
        <v>0.17388153076171881</v>
      </c>
      <c r="E427">
        <v>134172</v>
      </c>
    </row>
    <row r="428" spans="1:5" x14ac:dyDescent="0.45">
      <c r="A428" t="s">
        <v>9</v>
      </c>
      <c r="B428" t="s">
        <v>6</v>
      </c>
      <c r="C428">
        <v>27</v>
      </c>
      <c r="D428">
        <v>5.30242919921875E-4</v>
      </c>
      <c r="E428">
        <v>358</v>
      </c>
    </row>
    <row r="429" spans="1:5" x14ac:dyDescent="0.45">
      <c r="A429" t="s">
        <v>9</v>
      </c>
      <c r="B429" t="s">
        <v>6</v>
      </c>
      <c r="C429">
        <v>28</v>
      </c>
      <c r="D429">
        <v>8.3398818969726563E-4</v>
      </c>
      <c r="E429">
        <v>660</v>
      </c>
    </row>
    <row r="430" spans="1:5" x14ac:dyDescent="0.45">
      <c r="A430" t="s">
        <v>9</v>
      </c>
      <c r="B430" t="s">
        <v>6</v>
      </c>
      <c r="C430">
        <v>29</v>
      </c>
      <c r="D430">
        <v>1.2488365173339839E-3</v>
      </c>
      <c r="E430">
        <v>1010</v>
      </c>
    </row>
    <row r="431" spans="1:5" x14ac:dyDescent="0.45">
      <c r="A431" t="s">
        <v>9</v>
      </c>
      <c r="B431" t="s">
        <v>6</v>
      </c>
      <c r="C431">
        <v>30</v>
      </c>
      <c r="D431">
        <v>0.56461548805236816</v>
      </c>
      <c r="E431">
        <v>472358</v>
      </c>
    </row>
    <row r="432" spans="1:5" x14ac:dyDescent="0.45">
      <c r="A432" t="s">
        <v>9</v>
      </c>
      <c r="B432" t="s">
        <v>6</v>
      </c>
      <c r="C432">
        <v>31</v>
      </c>
      <c r="D432">
        <v>7.2574615478515625E-4</v>
      </c>
      <c r="E432">
        <v>422</v>
      </c>
    </row>
    <row r="433" spans="1:5" x14ac:dyDescent="0.45">
      <c r="A433" t="s">
        <v>9</v>
      </c>
      <c r="B433" t="s">
        <v>6</v>
      </c>
      <c r="C433">
        <v>32</v>
      </c>
      <c r="D433">
        <v>5.9819221496582031E-4</v>
      </c>
      <c r="E433">
        <v>452</v>
      </c>
    </row>
    <row r="434" spans="1:5" x14ac:dyDescent="0.45">
      <c r="A434" t="s">
        <v>9</v>
      </c>
      <c r="B434" t="s">
        <v>6</v>
      </c>
      <c r="C434">
        <v>33</v>
      </c>
      <c r="D434">
        <v>7.82012939453125E-4</v>
      </c>
      <c r="E434">
        <v>635</v>
      </c>
    </row>
    <row r="435" spans="1:5" x14ac:dyDescent="0.45">
      <c r="A435" t="s">
        <v>9</v>
      </c>
      <c r="B435" t="s">
        <v>6</v>
      </c>
      <c r="C435">
        <v>34</v>
      </c>
      <c r="D435">
        <v>6.9289207458496094E-3</v>
      </c>
      <c r="E435">
        <v>5741</v>
      </c>
    </row>
    <row r="436" spans="1:5" x14ac:dyDescent="0.45">
      <c r="A436" t="s">
        <v>9</v>
      </c>
      <c r="B436" t="s">
        <v>6</v>
      </c>
      <c r="C436">
        <v>35</v>
      </c>
      <c r="D436">
        <v>3.31878662109375E-3</v>
      </c>
      <c r="E436">
        <v>2649</v>
      </c>
    </row>
    <row r="437" spans="1:5" x14ac:dyDescent="0.45">
      <c r="A437" t="s">
        <v>9</v>
      </c>
      <c r="B437" t="s">
        <v>6</v>
      </c>
      <c r="C437">
        <v>36</v>
      </c>
      <c r="D437">
        <v>1.1763572692871089E-3</v>
      </c>
      <c r="E437">
        <v>828</v>
      </c>
    </row>
    <row r="438" spans="1:5" x14ac:dyDescent="0.45">
      <c r="A438" t="s">
        <v>9</v>
      </c>
      <c r="B438" t="s">
        <v>6</v>
      </c>
      <c r="C438">
        <v>37</v>
      </c>
      <c r="D438">
        <v>1.333951950073242E-3</v>
      </c>
      <c r="E438">
        <v>1074</v>
      </c>
    </row>
    <row r="439" spans="1:5" x14ac:dyDescent="0.45">
      <c r="A439" t="s">
        <v>9</v>
      </c>
      <c r="B439" t="s">
        <v>6</v>
      </c>
      <c r="C439">
        <v>38</v>
      </c>
      <c r="D439">
        <v>6.9093704223632813E-4</v>
      </c>
      <c r="E439">
        <v>460</v>
      </c>
    </row>
    <row r="440" spans="1:5" x14ac:dyDescent="0.45">
      <c r="A440" t="s">
        <v>9</v>
      </c>
      <c r="B440" t="s">
        <v>6</v>
      </c>
      <c r="C440">
        <v>39</v>
      </c>
      <c r="D440">
        <v>5.1414966583251953E-3</v>
      </c>
      <c r="E440">
        <v>4348</v>
      </c>
    </row>
    <row r="441" spans="1:5" x14ac:dyDescent="0.45">
      <c r="A441" t="s">
        <v>9</v>
      </c>
      <c r="B441" t="s">
        <v>6</v>
      </c>
      <c r="C441">
        <v>40</v>
      </c>
      <c r="D441">
        <v>2.0813941955566411E-3</v>
      </c>
      <c r="E441">
        <v>1792</v>
      </c>
    </row>
    <row r="442" spans="1:5" x14ac:dyDescent="0.45">
      <c r="A442" t="s">
        <v>9</v>
      </c>
      <c r="B442" t="s">
        <v>6</v>
      </c>
      <c r="C442">
        <v>41</v>
      </c>
      <c r="D442">
        <v>4.4140815734863281E-3</v>
      </c>
      <c r="E442">
        <v>3325</v>
      </c>
    </row>
    <row r="443" spans="1:5" x14ac:dyDescent="0.45">
      <c r="A443" t="s">
        <v>9</v>
      </c>
      <c r="B443" t="s">
        <v>6</v>
      </c>
      <c r="C443">
        <v>42</v>
      </c>
      <c r="D443">
        <v>0.32166767120361328</v>
      </c>
      <c r="E443">
        <v>281867</v>
      </c>
    </row>
    <row r="444" spans="1:5" x14ac:dyDescent="0.45">
      <c r="A444" t="s">
        <v>9</v>
      </c>
      <c r="B444" t="s">
        <v>6</v>
      </c>
      <c r="C444">
        <v>43</v>
      </c>
      <c r="D444">
        <v>6.5684318542480469E-4</v>
      </c>
      <c r="E444">
        <v>419</v>
      </c>
    </row>
    <row r="445" spans="1:5" x14ac:dyDescent="0.45">
      <c r="A445" t="s">
        <v>9</v>
      </c>
      <c r="B445" t="s">
        <v>6</v>
      </c>
      <c r="C445">
        <v>44</v>
      </c>
      <c r="D445">
        <v>6.7296028137207031E-3</v>
      </c>
      <c r="E445">
        <v>5907</v>
      </c>
    </row>
    <row r="446" spans="1:5" x14ac:dyDescent="0.45">
      <c r="A446" t="s">
        <v>9</v>
      </c>
      <c r="B446" t="s">
        <v>6</v>
      </c>
      <c r="C446">
        <v>45</v>
      </c>
      <c r="D446">
        <v>2.4541378021240231E-2</v>
      </c>
      <c r="E446">
        <v>19936</v>
      </c>
    </row>
    <row r="447" spans="1:5" x14ac:dyDescent="0.45">
      <c r="A447" t="s">
        <v>9</v>
      </c>
      <c r="B447" t="s">
        <v>6</v>
      </c>
      <c r="C447">
        <v>46</v>
      </c>
      <c r="D447">
        <v>2.4476051330566411E-3</v>
      </c>
      <c r="E447">
        <v>1790</v>
      </c>
    </row>
    <row r="448" spans="1:5" x14ac:dyDescent="0.45">
      <c r="A448" t="s">
        <v>9</v>
      </c>
      <c r="B448" t="s">
        <v>6</v>
      </c>
      <c r="C448">
        <v>47</v>
      </c>
      <c r="D448">
        <v>9.1211795806884766E-3</v>
      </c>
      <c r="E448">
        <v>7163</v>
      </c>
    </row>
    <row r="449" spans="1:5" x14ac:dyDescent="0.45">
      <c r="A449" t="s">
        <v>9</v>
      </c>
      <c r="B449" t="s">
        <v>6</v>
      </c>
      <c r="C449">
        <v>48</v>
      </c>
      <c r="D449">
        <v>7.9242944717407227E-2</v>
      </c>
      <c r="E449">
        <v>62358</v>
      </c>
    </row>
    <row r="450" spans="1:5" x14ac:dyDescent="0.45">
      <c r="A450" t="s">
        <v>9</v>
      </c>
      <c r="B450" t="s">
        <v>6</v>
      </c>
      <c r="C450">
        <v>49</v>
      </c>
      <c r="D450">
        <v>9.4907283782958984E-3</v>
      </c>
      <c r="E450">
        <v>7969</v>
      </c>
    </row>
    <row r="451" spans="1:5" x14ac:dyDescent="0.45">
      <c r="A451" t="s">
        <v>9</v>
      </c>
      <c r="B451" t="s">
        <v>6</v>
      </c>
      <c r="C451">
        <v>50</v>
      </c>
      <c r="D451">
        <v>1.247739791870117E-2</v>
      </c>
      <c r="E451">
        <v>9724</v>
      </c>
    </row>
    <row r="452" spans="1:5" x14ac:dyDescent="0.45">
      <c r="A452" t="s">
        <v>9</v>
      </c>
      <c r="B452" t="s">
        <v>6</v>
      </c>
      <c r="C452">
        <v>51</v>
      </c>
      <c r="D452">
        <v>1.760614395141602</v>
      </c>
      <c r="E452">
        <v>1427632</v>
      </c>
    </row>
    <row r="453" spans="1:5" x14ac:dyDescent="0.45">
      <c r="A453" t="s">
        <v>9</v>
      </c>
      <c r="B453" t="s">
        <v>6</v>
      </c>
      <c r="C453">
        <v>52</v>
      </c>
      <c r="D453">
        <v>1.3153553009033201E-3</v>
      </c>
      <c r="E453">
        <v>1007</v>
      </c>
    </row>
    <row r="454" spans="1:5" x14ac:dyDescent="0.45">
      <c r="A454" t="s">
        <v>9</v>
      </c>
      <c r="B454" t="s">
        <v>6</v>
      </c>
      <c r="C454">
        <v>53</v>
      </c>
      <c r="D454">
        <v>1.800298690795898E-3</v>
      </c>
      <c r="E454">
        <v>1380</v>
      </c>
    </row>
    <row r="455" spans="1:5" x14ac:dyDescent="0.45">
      <c r="A455" t="s">
        <v>9</v>
      </c>
      <c r="B455" t="s">
        <v>6</v>
      </c>
      <c r="C455">
        <v>54</v>
      </c>
      <c r="D455">
        <v>5.1975250244140625E-4</v>
      </c>
      <c r="E455">
        <v>401</v>
      </c>
    </row>
    <row r="456" spans="1:5" x14ac:dyDescent="0.45">
      <c r="A456" t="s">
        <v>9</v>
      </c>
      <c r="B456" t="s">
        <v>6</v>
      </c>
      <c r="C456">
        <v>55</v>
      </c>
      <c r="D456">
        <v>4.1508674621582031E-4</v>
      </c>
      <c r="E456">
        <v>324</v>
      </c>
    </row>
    <row r="457" spans="1:5" x14ac:dyDescent="0.45">
      <c r="A457" t="s">
        <v>9</v>
      </c>
      <c r="B457" t="s">
        <v>6</v>
      </c>
      <c r="C457">
        <v>56</v>
      </c>
      <c r="D457">
        <v>3.5977363586425781E-4</v>
      </c>
      <c r="E457">
        <v>260</v>
      </c>
    </row>
    <row r="458" spans="1:5" x14ac:dyDescent="0.45">
      <c r="A458" t="s">
        <v>9</v>
      </c>
      <c r="B458" t="s">
        <v>6</v>
      </c>
      <c r="C458">
        <v>57</v>
      </c>
      <c r="D458">
        <v>4.1476964950561523E-2</v>
      </c>
      <c r="E458">
        <v>35193</v>
      </c>
    </row>
    <row r="459" spans="1:5" x14ac:dyDescent="0.45">
      <c r="A459" t="s">
        <v>9</v>
      </c>
      <c r="B459" t="s">
        <v>6</v>
      </c>
      <c r="C459">
        <v>58</v>
      </c>
      <c r="D459">
        <v>0.34698319435119629</v>
      </c>
      <c r="E459">
        <v>294453</v>
      </c>
    </row>
    <row r="460" spans="1:5" x14ac:dyDescent="0.45">
      <c r="A460" t="s">
        <v>9</v>
      </c>
      <c r="B460" t="s">
        <v>6</v>
      </c>
      <c r="C460">
        <v>59</v>
      </c>
      <c r="D460">
        <v>5.9270858764648438E-4</v>
      </c>
      <c r="E460">
        <v>352</v>
      </c>
    </row>
    <row r="461" spans="1:5" x14ac:dyDescent="0.45">
      <c r="A461" t="s">
        <v>9</v>
      </c>
      <c r="B461" t="s">
        <v>6</v>
      </c>
      <c r="C461">
        <v>60</v>
      </c>
      <c r="D461">
        <v>1.018762588500977E-3</v>
      </c>
      <c r="E461">
        <v>665</v>
      </c>
    </row>
    <row r="462" spans="1:5" x14ac:dyDescent="0.45">
      <c r="A462" t="s">
        <v>9</v>
      </c>
      <c r="B462" t="s">
        <v>6</v>
      </c>
      <c r="C462">
        <v>61</v>
      </c>
      <c r="D462">
        <v>1.0125637054443359E-3</v>
      </c>
      <c r="E462">
        <v>624</v>
      </c>
    </row>
    <row r="463" spans="1:5" x14ac:dyDescent="0.45">
      <c r="A463" t="s">
        <v>9</v>
      </c>
      <c r="B463" t="s">
        <v>6</v>
      </c>
      <c r="C463">
        <v>62</v>
      </c>
      <c r="D463">
        <v>3.0155181884765621E-3</v>
      </c>
      <c r="E463">
        <v>2088</v>
      </c>
    </row>
    <row r="464" spans="1:5" x14ac:dyDescent="0.45">
      <c r="A464" t="s">
        <v>9</v>
      </c>
      <c r="B464" t="s">
        <v>6</v>
      </c>
      <c r="C464">
        <v>63</v>
      </c>
      <c r="D464">
        <v>0.1007289886474609</v>
      </c>
      <c r="E464">
        <v>85789</v>
      </c>
    </row>
    <row r="465" spans="1:5" x14ac:dyDescent="0.45">
      <c r="A465" t="s">
        <v>9</v>
      </c>
      <c r="B465" t="s">
        <v>6</v>
      </c>
      <c r="C465">
        <v>64</v>
      </c>
      <c r="D465">
        <v>0.13886213302612299</v>
      </c>
      <c r="E465">
        <v>114444</v>
      </c>
    </row>
    <row r="466" spans="1:5" x14ac:dyDescent="0.45">
      <c r="A466" t="s">
        <v>9</v>
      </c>
      <c r="B466" t="s">
        <v>6</v>
      </c>
      <c r="C466">
        <v>65</v>
      </c>
      <c r="D466">
        <v>0.1401255130767822</v>
      </c>
      <c r="E466">
        <v>117884</v>
      </c>
    </row>
    <row r="467" spans="1:5" x14ac:dyDescent="0.45">
      <c r="A467" t="s">
        <v>9</v>
      </c>
      <c r="B467" t="s">
        <v>6</v>
      </c>
      <c r="C467">
        <v>66</v>
      </c>
      <c r="D467">
        <v>1.8953084945678711E-2</v>
      </c>
      <c r="E467">
        <v>15416</v>
      </c>
    </row>
    <row r="468" spans="1:5" x14ac:dyDescent="0.45">
      <c r="A468" t="s">
        <v>9</v>
      </c>
      <c r="B468" t="s">
        <v>6</v>
      </c>
      <c r="C468">
        <v>67</v>
      </c>
      <c r="D468">
        <v>5.4574012756347656E-4</v>
      </c>
      <c r="E468">
        <v>408</v>
      </c>
    </row>
    <row r="469" spans="1:5" x14ac:dyDescent="0.45">
      <c r="A469" t="s">
        <v>9</v>
      </c>
      <c r="B469" t="s">
        <v>6</v>
      </c>
      <c r="C469">
        <v>68</v>
      </c>
      <c r="D469">
        <v>6.1552524566650391E-2</v>
      </c>
      <c r="E469">
        <v>50978</v>
      </c>
    </row>
    <row r="470" spans="1:5" x14ac:dyDescent="0.45">
      <c r="A470" t="s">
        <v>9</v>
      </c>
      <c r="B470" t="s">
        <v>6</v>
      </c>
      <c r="C470">
        <v>69</v>
      </c>
      <c r="D470">
        <v>5.7291984558105469E-4</v>
      </c>
      <c r="E470">
        <v>356</v>
      </c>
    </row>
    <row r="471" spans="1:5" x14ac:dyDescent="0.45">
      <c r="A471" t="s">
        <v>9</v>
      </c>
      <c r="B471" t="s">
        <v>6</v>
      </c>
      <c r="C471">
        <v>70</v>
      </c>
      <c r="D471">
        <v>3.6264896392822273E-2</v>
      </c>
      <c r="E471">
        <v>29754</v>
      </c>
    </row>
    <row r="472" spans="1:5" x14ac:dyDescent="0.45">
      <c r="A472" t="s">
        <v>9</v>
      </c>
      <c r="B472" t="s">
        <v>6</v>
      </c>
      <c r="C472">
        <v>71</v>
      </c>
      <c r="D472">
        <v>6.3729286193847656E-4</v>
      </c>
      <c r="E472">
        <v>402</v>
      </c>
    </row>
    <row r="473" spans="1:5" x14ac:dyDescent="0.45">
      <c r="A473" t="s">
        <v>9</v>
      </c>
      <c r="B473" t="s">
        <v>6</v>
      </c>
      <c r="C473">
        <v>72</v>
      </c>
      <c r="D473">
        <v>2.2678375244140621E-3</v>
      </c>
      <c r="E473">
        <v>1793</v>
      </c>
    </row>
    <row r="474" spans="1:5" x14ac:dyDescent="0.45">
      <c r="A474" t="s">
        <v>9</v>
      </c>
      <c r="B474" t="s">
        <v>6</v>
      </c>
      <c r="C474">
        <v>73</v>
      </c>
      <c r="D474">
        <v>0.1294662952423096</v>
      </c>
      <c r="E474">
        <v>104383</v>
      </c>
    </row>
    <row r="475" spans="1:5" x14ac:dyDescent="0.45">
      <c r="A475" t="s">
        <v>9</v>
      </c>
      <c r="B475" t="s">
        <v>6</v>
      </c>
      <c r="C475">
        <v>74</v>
      </c>
      <c r="D475">
        <v>2.6583671569824219E-3</v>
      </c>
      <c r="E475">
        <v>1928</v>
      </c>
    </row>
    <row r="476" spans="1:5" x14ac:dyDescent="0.45">
      <c r="A476" t="s">
        <v>9</v>
      </c>
      <c r="B476" t="s">
        <v>6</v>
      </c>
      <c r="C476">
        <v>75</v>
      </c>
      <c r="D476">
        <v>1.1703968048095701E-3</v>
      </c>
      <c r="E476">
        <v>867</v>
      </c>
    </row>
    <row r="477" spans="1:5" x14ac:dyDescent="0.45">
      <c r="A477" t="s">
        <v>9</v>
      </c>
      <c r="B477" t="s">
        <v>6</v>
      </c>
      <c r="C477">
        <v>76</v>
      </c>
      <c r="D477">
        <v>4.1513442993164063E-3</v>
      </c>
      <c r="E477">
        <v>3388</v>
      </c>
    </row>
    <row r="478" spans="1:5" x14ac:dyDescent="0.45">
      <c r="A478" t="s">
        <v>9</v>
      </c>
      <c r="B478" t="s">
        <v>6</v>
      </c>
      <c r="C478">
        <v>77</v>
      </c>
      <c r="D478">
        <v>1.530838012695312E-2</v>
      </c>
      <c r="E478">
        <v>13058</v>
      </c>
    </row>
    <row r="479" spans="1:5" x14ac:dyDescent="0.45">
      <c r="A479" t="s">
        <v>9</v>
      </c>
      <c r="B479" t="s">
        <v>6</v>
      </c>
      <c r="C479">
        <v>78</v>
      </c>
      <c r="D479">
        <v>4.2772293090820313E-3</v>
      </c>
      <c r="E479">
        <v>3467</v>
      </c>
    </row>
    <row r="480" spans="1:5" x14ac:dyDescent="0.45">
      <c r="A480" t="s">
        <v>9</v>
      </c>
      <c r="B480" t="s">
        <v>6</v>
      </c>
      <c r="C480">
        <v>79</v>
      </c>
      <c r="D480">
        <v>3.1561851501464839E-3</v>
      </c>
      <c r="E480">
        <v>2494</v>
      </c>
    </row>
    <row r="481" spans="1:5" x14ac:dyDescent="0.45">
      <c r="A481" t="s">
        <v>9</v>
      </c>
      <c r="B481" t="s">
        <v>6</v>
      </c>
      <c r="C481">
        <v>80</v>
      </c>
      <c r="D481">
        <v>5.645751953125E-4</v>
      </c>
      <c r="E481">
        <v>454</v>
      </c>
    </row>
    <row r="482" spans="1:5" x14ac:dyDescent="0.45">
      <c r="A482" t="s">
        <v>9</v>
      </c>
      <c r="B482" t="s">
        <v>6</v>
      </c>
      <c r="C482">
        <v>81</v>
      </c>
      <c r="D482">
        <v>4.2510032653808588E-4</v>
      </c>
      <c r="E482">
        <v>288</v>
      </c>
    </row>
    <row r="483" spans="1:5" x14ac:dyDescent="0.45">
      <c r="A483" t="s">
        <v>9</v>
      </c>
      <c r="B483" t="s">
        <v>6</v>
      </c>
      <c r="C483">
        <v>82</v>
      </c>
      <c r="D483">
        <v>3.165960311889648E-3</v>
      </c>
      <c r="E483">
        <v>2851</v>
      </c>
    </row>
    <row r="484" spans="1:5" x14ac:dyDescent="0.45">
      <c r="A484" t="s">
        <v>9</v>
      </c>
      <c r="B484" t="s">
        <v>6</v>
      </c>
      <c r="C484">
        <v>83</v>
      </c>
      <c r="D484">
        <v>0.129596471786499</v>
      </c>
      <c r="E484">
        <v>106372</v>
      </c>
    </row>
    <row r="485" spans="1:5" x14ac:dyDescent="0.45">
      <c r="A485" t="s">
        <v>9</v>
      </c>
      <c r="B485" t="s">
        <v>6</v>
      </c>
      <c r="C485">
        <v>84</v>
      </c>
      <c r="D485">
        <v>1.2757778167724609E-3</v>
      </c>
      <c r="E485">
        <v>860</v>
      </c>
    </row>
    <row r="486" spans="1:5" x14ac:dyDescent="0.45">
      <c r="A486" t="s">
        <v>9</v>
      </c>
      <c r="B486" t="s">
        <v>6</v>
      </c>
      <c r="C486">
        <v>85</v>
      </c>
      <c r="D486">
        <v>5.931854248046875E-4</v>
      </c>
      <c r="E486">
        <v>379</v>
      </c>
    </row>
    <row r="487" spans="1:5" x14ac:dyDescent="0.45">
      <c r="A487" t="s">
        <v>9</v>
      </c>
      <c r="B487" t="s">
        <v>6</v>
      </c>
      <c r="C487">
        <v>86</v>
      </c>
      <c r="D487">
        <v>1.180467367172241</v>
      </c>
      <c r="E487">
        <v>981355</v>
      </c>
    </row>
    <row r="488" spans="1:5" x14ac:dyDescent="0.45">
      <c r="A488" t="s">
        <v>9</v>
      </c>
      <c r="B488" t="s">
        <v>6</v>
      </c>
      <c r="C488">
        <v>87</v>
      </c>
      <c r="D488">
        <v>1.0354518890380859E-2</v>
      </c>
      <c r="E488">
        <v>8519</v>
      </c>
    </row>
    <row r="489" spans="1:5" x14ac:dyDescent="0.45">
      <c r="A489" t="s">
        <v>9</v>
      </c>
      <c r="B489" t="s">
        <v>6</v>
      </c>
      <c r="C489">
        <v>88</v>
      </c>
      <c r="D489">
        <v>1.2724399566650391E-3</v>
      </c>
      <c r="E489">
        <v>1039</v>
      </c>
    </row>
    <row r="490" spans="1:5" x14ac:dyDescent="0.45">
      <c r="A490" t="s">
        <v>9</v>
      </c>
      <c r="B490" t="s">
        <v>6</v>
      </c>
      <c r="C490">
        <v>89</v>
      </c>
      <c r="D490">
        <v>8.9693069458007813E-4</v>
      </c>
      <c r="E490">
        <v>737</v>
      </c>
    </row>
    <row r="491" spans="1:5" x14ac:dyDescent="0.45">
      <c r="A491" t="s">
        <v>9</v>
      </c>
      <c r="B491" t="s">
        <v>6</v>
      </c>
      <c r="C491">
        <v>90</v>
      </c>
      <c r="D491">
        <v>2.1526813507080078E-3</v>
      </c>
      <c r="E491">
        <v>1864</v>
      </c>
    </row>
    <row r="492" spans="1:5" x14ac:dyDescent="0.45">
      <c r="A492" t="s">
        <v>9</v>
      </c>
      <c r="B492" t="s">
        <v>6</v>
      </c>
      <c r="C492">
        <v>91</v>
      </c>
      <c r="D492">
        <v>2.0421266555786129E-2</v>
      </c>
      <c r="E492">
        <v>18047</v>
      </c>
    </row>
    <row r="493" spans="1:5" x14ac:dyDescent="0.45">
      <c r="A493" t="s">
        <v>9</v>
      </c>
      <c r="B493" t="s">
        <v>6</v>
      </c>
      <c r="C493">
        <v>92</v>
      </c>
      <c r="D493">
        <v>8.3208084106445313E-4</v>
      </c>
      <c r="E493">
        <v>483</v>
      </c>
    </row>
    <row r="494" spans="1:5" x14ac:dyDescent="0.45">
      <c r="A494" t="s">
        <v>9</v>
      </c>
      <c r="B494" t="s">
        <v>6</v>
      </c>
      <c r="C494">
        <v>93</v>
      </c>
      <c r="D494">
        <v>5.9390068054199219E-4</v>
      </c>
      <c r="E494">
        <v>430</v>
      </c>
    </row>
    <row r="495" spans="1:5" x14ac:dyDescent="0.45">
      <c r="A495" t="s">
        <v>9</v>
      </c>
      <c r="B495" t="s">
        <v>6</v>
      </c>
      <c r="C495">
        <v>94</v>
      </c>
      <c r="D495">
        <v>4.2798519134521476E-3</v>
      </c>
      <c r="E495">
        <v>3464</v>
      </c>
    </row>
    <row r="496" spans="1:5" x14ac:dyDescent="0.45">
      <c r="A496" t="s">
        <v>9</v>
      </c>
      <c r="B496" t="s">
        <v>6</v>
      </c>
      <c r="C496">
        <v>95</v>
      </c>
      <c r="D496">
        <v>2.1367073059082031E-3</v>
      </c>
      <c r="E496">
        <v>1517</v>
      </c>
    </row>
    <row r="497" spans="1:5" x14ac:dyDescent="0.45">
      <c r="A497" t="s">
        <v>9</v>
      </c>
      <c r="B497" t="s">
        <v>6</v>
      </c>
      <c r="C497">
        <v>96</v>
      </c>
      <c r="D497">
        <v>2.4554729461669922E-3</v>
      </c>
      <c r="E497">
        <v>2001</v>
      </c>
    </row>
    <row r="498" spans="1:5" x14ac:dyDescent="0.45">
      <c r="A498" t="s">
        <v>9</v>
      </c>
      <c r="B498" t="s">
        <v>6</v>
      </c>
      <c r="C498">
        <v>97</v>
      </c>
      <c r="D498">
        <v>5.5103302001953116E-3</v>
      </c>
      <c r="E498">
        <v>4233</v>
      </c>
    </row>
    <row r="499" spans="1:5" x14ac:dyDescent="0.45">
      <c r="A499" t="s">
        <v>9</v>
      </c>
      <c r="B499" t="s">
        <v>6</v>
      </c>
      <c r="C499">
        <v>98</v>
      </c>
      <c r="D499">
        <v>0.42459011077880859</v>
      </c>
      <c r="E499">
        <v>374782</v>
      </c>
    </row>
    <row r="500" spans="1:5" x14ac:dyDescent="0.45">
      <c r="A500" t="s">
        <v>9</v>
      </c>
      <c r="B500" t="s">
        <v>6</v>
      </c>
      <c r="C500">
        <v>99</v>
      </c>
      <c r="D500">
        <v>1.930475234985352E-3</v>
      </c>
      <c r="E500">
        <v>1475</v>
      </c>
    </row>
    <row r="501" spans="1:5" x14ac:dyDescent="0.45">
      <c r="A501" t="s">
        <v>9</v>
      </c>
      <c r="B501" t="s">
        <v>6</v>
      </c>
      <c r="C501">
        <v>100</v>
      </c>
      <c r="D501">
        <v>0.51390457153320313</v>
      </c>
      <c r="E501">
        <v>444736</v>
      </c>
    </row>
    <row r="502" spans="1:5" x14ac:dyDescent="0.45">
      <c r="A502" t="s">
        <v>9</v>
      </c>
      <c r="B502" t="s">
        <v>7</v>
      </c>
      <c r="C502">
        <v>1</v>
      </c>
      <c r="D502">
        <v>5.7475566864013672E-3</v>
      </c>
      <c r="E502">
        <v>64</v>
      </c>
    </row>
    <row r="503" spans="1:5" x14ac:dyDescent="0.45">
      <c r="A503" t="s">
        <v>9</v>
      </c>
      <c r="B503" t="s">
        <v>7</v>
      </c>
      <c r="C503">
        <v>2</v>
      </c>
      <c r="D503">
        <v>1.7336845397949219E-2</v>
      </c>
      <c r="E503">
        <v>155</v>
      </c>
    </row>
    <row r="504" spans="1:5" x14ac:dyDescent="0.45">
      <c r="A504" t="s">
        <v>9</v>
      </c>
      <c r="B504" t="s">
        <v>7</v>
      </c>
      <c r="C504">
        <v>3</v>
      </c>
      <c r="D504">
        <v>1.1155843734741209E-2</v>
      </c>
      <c r="E504">
        <v>120</v>
      </c>
    </row>
    <row r="505" spans="1:5" x14ac:dyDescent="0.45">
      <c r="A505" t="s">
        <v>9</v>
      </c>
      <c r="B505" t="s">
        <v>7</v>
      </c>
      <c r="C505">
        <v>4</v>
      </c>
      <c r="D505">
        <v>1.8614053726196289E-2</v>
      </c>
      <c r="E505">
        <v>183</v>
      </c>
    </row>
    <row r="506" spans="1:5" x14ac:dyDescent="0.45">
      <c r="A506" t="s">
        <v>9</v>
      </c>
      <c r="B506" t="s">
        <v>7</v>
      </c>
      <c r="C506">
        <v>5</v>
      </c>
      <c r="D506">
        <v>4.4548511505126953E-3</v>
      </c>
      <c r="E506">
        <v>56</v>
      </c>
    </row>
    <row r="507" spans="1:5" x14ac:dyDescent="0.45">
      <c r="A507" t="s">
        <v>9</v>
      </c>
      <c r="B507" t="s">
        <v>7</v>
      </c>
      <c r="C507">
        <v>6</v>
      </c>
      <c r="D507">
        <v>3.9844512939453116E-3</v>
      </c>
      <c r="E507">
        <v>52</v>
      </c>
    </row>
    <row r="508" spans="1:5" x14ac:dyDescent="0.45">
      <c r="A508" t="s">
        <v>9</v>
      </c>
      <c r="B508" t="s">
        <v>7</v>
      </c>
      <c r="C508">
        <v>7</v>
      </c>
      <c r="D508">
        <v>7.7817440032958976E-3</v>
      </c>
      <c r="E508">
        <v>90</v>
      </c>
    </row>
    <row r="509" spans="1:5" x14ac:dyDescent="0.45">
      <c r="A509" t="s">
        <v>9</v>
      </c>
      <c r="B509" t="s">
        <v>7</v>
      </c>
      <c r="C509">
        <v>8</v>
      </c>
      <c r="D509">
        <v>2.3050546646118161E-2</v>
      </c>
      <c r="E509">
        <v>201</v>
      </c>
    </row>
    <row r="510" spans="1:5" x14ac:dyDescent="0.45">
      <c r="A510" t="s">
        <v>9</v>
      </c>
      <c r="B510" t="s">
        <v>7</v>
      </c>
      <c r="C510">
        <v>9</v>
      </c>
      <c r="D510">
        <v>2.5881767272949219E-2</v>
      </c>
      <c r="E510">
        <v>213</v>
      </c>
    </row>
    <row r="511" spans="1:5" x14ac:dyDescent="0.45">
      <c r="A511" t="s">
        <v>9</v>
      </c>
      <c r="B511" t="s">
        <v>7</v>
      </c>
      <c r="C511">
        <v>10</v>
      </c>
      <c r="D511">
        <v>6.2804222106933594E-3</v>
      </c>
      <c r="E511">
        <v>77</v>
      </c>
    </row>
    <row r="512" spans="1:5" x14ac:dyDescent="0.45">
      <c r="A512" t="s">
        <v>9</v>
      </c>
      <c r="B512" t="s">
        <v>7</v>
      </c>
      <c r="C512">
        <v>11</v>
      </c>
      <c r="D512">
        <v>4.4151067733764648E-2</v>
      </c>
      <c r="E512">
        <v>398</v>
      </c>
    </row>
    <row r="513" spans="1:5" x14ac:dyDescent="0.45">
      <c r="A513" t="s">
        <v>9</v>
      </c>
      <c r="B513" t="s">
        <v>7</v>
      </c>
      <c r="C513">
        <v>12</v>
      </c>
      <c r="D513">
        <v>1.627755165100098E-2</v>
      </c>
      <c r="E513">
        <v>160</v>
      </c>
    </row>
    <row r="514" spans="1:5" x14ac:dyDescent="0.45">
      <c r="A514" t="s">
        <v>9</v>
      </c>
      <c r="B514" t="s">
        <v>7</v>
      </c>
      <c r="C514">
        <v>13</v>
      </c>
      <c r="D514">
        <v>1.7842292785644531E-2</v>
      </c>
      <c r="E514">
        <v>155</v>
      </c>
    </row>
    <row r="515" spans="1:5" x14ac:dyDescent="0.45">
      <c r="A515" t="s">
        <v>9</v>
      </c>
      <c r="B515" t="s">
        <v>7</v>
      </c>
      <c r="C515">
        <v>14</v>
      </c>
      <c r="D515">
        <v>8.0165863037109375E-3</v>
      </c>
      <c r="E515">
        <v>82</v>
      </c>
    </row>
    <row r="516" spans="1:5" x14ac:dyDescent="0.45">
      <c r="A516" t="s">
        <v>9</v>
      </c>
      <c r="B516" t="s">
        <v>7</v>
      </c>
      <c r="C516">
        <v>15</v>
      </c>
      <c r="D516">
        <v>6.9193840026855469E-3</v>
      </c>
      <c r="E516">
        <v>84</v>
      </c>
    </row>
    <row r="517" spans="1:5" x14ac:dyDescent="0.45">
      <c r="A517" t="s">
        <v>9</v>
      </c>
      <c r="B517" t="s">
        <v>7</v>
      </c>
      <c r="C517">
        <v>16</v>
      </c>
      <c r="D517">
        <v>1.340579986572266E-2</v>
      </c>
      <c r="E517">
        <v>144</v>
      </c>
    </row>
    <row r="518" spans="1:5" x14ac:dyDescent="0.45">
      <c r="A518" t="s">
        <v>9</v>
      </c>
      <c r="B518" t="s">
        <v>7</v>
      </c>
      <c r="C518">
        <v>17</v>
      </c>
      <c r="D518">
        <v>1.7298698425292969E-2</v>
      </c>
      <c r="E518">
        <v>172</v>
      </c>
    </row>
    <row r="519" spans="1:5" x14ac:dyDescent="0.45">
      <c r="A519" t="s">
        <v>9</v>
      </c>
      <c r="B519" t="s">
        <v>7</v>
      </c>
      <c r="C519">
        <v>18</v>
      </c>
      <c r="D519">
        <v>4.3573379516601563E-3</v>
      </c>
      <c r="E519">
        <v>55</v>
      </c>
    </row>
    <row r="520" spans="1:5" x14ac:dyDescent="0.45">
      <c r="A520" t="s">
        <v>9</v>
      </c>
      <c r="B520" t="s">
        <v>7</v>
      </c>
      <c r="C520">
        <v>19</v>
      </c>
      <c r="D520">
        <v>5.9721946716308587E-2</v>
      </c>
      <c r="E520">
        <v>550</v>
      </c>
    </row>
    <row r="521" spans="1:5" x14ac:dyDescent="0.45">
      <c r="A521" t="s">
        <v>9</v>
      </c>
      <c r="B521" t="s">
        <v>7</v>
      </c>
      <c r="C521">
        <v>20</v>
      </c>
      <c r="D521">
        <v>5.4001808166503906E-3</v>
      </c>
      <c r="E521">
        <v>65</v>
      </c>
    </row>
    <row r="522" spans="1:5" x14ac:dyDescent="0.45">
      <c r="A522" t="s">
        <v>9</v>
      </c>
      <c r="B522" t="s">
        <v>7</v>
      </c>
      <c r="C522">
        <v>21</v>
      </c>
      <c r="D522">
        <v>0.1387128829956055</v>
      </c>
      <c r="E522">
        <v>1419</v>
      </c>
    </row>
    <row r="523" spans="1:5" x14ac:dyDescent="0.45">
      <c r="A523" t="s">
        <v>9</v>
      </c>
      <c r="B523" t="s">
        <v>7</v>
      </c>
      <c r="C523">
        <v>22</v>
      </c>
      <c r="D523">
        <v>4.8921108245849609E-3</v>
      </c>
      <c r="E523">
        <v>63</v>
      </c>
    </row>
    <row r="524" spans="1:5" x14ac:dyDescent="0.45">
      <c r="A524" t="s">
        <v>9</v>
      </c>
      <c r="B524" t="s">
        <v>7</v>
      </c>
      <c r="C524">
        <v>23</v>
      </c>
      <c r="D524">
        <v>1.7435073852539059E-2</v>
      </c>
      <c r="E524">
        <v>203</v>
      </c>
    </row>
    <row r="525" spans="1:5" x14ac:dyDescent="0.45">
      <c r="A525" t="s">
        <v>9</v>
      </c>
      <c r="B525" t="s">
        <v>7</v>
      </c>
      <c r="C525">
        <v>24</v>
      </c>
      <c r="D525">
        <v>5.8989524841308594E-3</v>
      </c>
      <c r="E525">
        <v>71</v>
      </c>
    </row>
    <row r="526" spans="1:5" x14ac:dyDescent="0.45">
      <c r="A526" t="s">
        <v>9</v>
      </c>
      <c r="B526" t="s">
        <v>7</v>
      </c>
      <c r="C526">
        <v>25</v>
      </c>
      <c r="D526">
        <v>4.9114227294921884E-3</v>
      </c>
      <c r="E526">
        <v>63</v>
      </c>
    </row>
    <row r="527" spans="1:5" x14ac:dyDescent="0.45">
      <c r="A527" t="s">
        <v>9</v>
      </c>
      <c r="B527" t="s">
        <v>7</v>
      </c>
      <c r="C527">
        <v>26</v>
      </c>
      <c r="D527">
        <v>1.1579751968383791E-2</v>
      </c>
      <c r="E527">
        <v>143</v>
      </c>
    </row>
    <row r="528" spans="1:5" x14ac:dyDescent="0.45">
      <c r="A528" t="s">
        <v>9</v>
      </c>
      <c r="B528" t="s">
        <v>7</v>
      </c>
      <c r="C528">
        <v>27</v>
      </c>
      <c r="D528">
        <v>5.1391124725341797E-3</v>
      </c>
      <c r="E528">
        <v>71</v>
      </c>
    </row>
    <row r="529" spans="1:5" x14ac:dyDescent="0.45">
      <c r="A529" t="s">
        <v>9</v>
      </c>
      <c r="B529" t="s">
        <v>7</v>
      </c>
      <c r="C529">
        <v>28</v>
      </c>
      <c r="D529">
        <v>1.6614198684692379E-2</v>
      </c>
      <c r="E529">
        <v>165</v>
      </c>
    </row>
    <row r="530" spans="1:5" x14ac:dyDescent="0.45">
      <c r="A530" t="s">
        <v>9</v>
      </c>
      <c r="B530" t="s">
        <v>7</v>
      </c>
      <c r="C530">
        <v>29</v>
      </c>
      <c r="D530">
        <v>6.0174465179443359E-3</v>
      </c>
      <c r="E530">
        <v>74</v>
      </c>
    </row>
    <row r="531" spans="1:5" x14ac:dyDescent="0.45">
      <c r="A531" t="s">
        <v>9</v>
      </c>
      <c r="B531" t="s">
        <v>7</v>
      </c>
      <c r="C531">
        <v>30</v>
      </c>
      <c r="D531">
        <v>2.7937412261962891E-2</v>
      </c>
      <c r="E531">
        <v>225</v>
      </c>
    </row>
    <row r="532" spans="1:5" x14ac:dyDescent="0.45">
      <c r="A532" t="s">
        <v>9</v>
      </c>
      <c r="B532" t="s">
        <v>7</v>
      </c>
      <c r="C532">
        <v>31</v>
      </c>
      <c r="D532">
        <v>5.7675838470458976E-3</v>
      </c>
      <c r="E532">
        <v>76</v>
      </c>
    </row>
    <row r="533" spans="1:5" x14ac:dyDescent="0.45">
      <c r="A533" t="s">
        <v>9</v>
      </c>
      <c r="B533" t="s">
        <v>7</v>
      </c>
      <c r="C533">
        <v>32</v>
      </c>
      <c r="D533">
        <v>7.976531982421875E-3</v>
      </c>
      <c r="E533">
        <v>97</v>
      </c>
    </row>
    <row r="534" spans="1:5" x14ac:dyDescent="0.45">
      <c r="A534" t="s">
        <v>9</v>
      </c>
      <c r="B534" t="s">
        <v>7</v>
      </c>
      <c r="C534">
        <v>33</v>
      </c>
      <c r="D534">
        <v>5.0351619720458976E-3</v>
      </c>
      <c r="E534">
        <v>70</v>
      </c>
    </row>
    <row r="535" spans="1:5" x14ac:dyDescent="0.45">
      <c r="A535" t="s">
        <v>9</v>
      </c>
      <c r="B535" t="s">
        <v>7</v>
      </c>
      <c r="C535">
        <v>34</v>
      </c>
      <c r="D535">
        <v>1.1273622512817379E-2</v>
      </c>
      <c r="E535">
        <v>100</v>
      </c>
    </row>
    <row r="536" spans="1:5" x14ac:dyDescent="0.45">
      <c r="A536" t="s">
        <v>9</v>
      </c>
      <c r="B536" t="s">
        <v>7</v>
      </c>
      <c r="C536">
        <v>35</v>
      </c>
      <c r="D536">
        <v>1.07579231262207E-2</v>
      </c>
      <c r="E536">
        <v>109</v>
      </c>
    </row>
    <row r="537" spans="1:5" x14ac:dyDescent="0.45">
      <c r="A537" t="s">
        <v>9</v>
      </c>
      <c r="B537" t="s">
        <v>7</v>
      </c>
      <c r="C537">
        <v>36</v>
      </c>
      <c r="D537">
        <v>5.489349365234375E-3</v>
      </c>
      <c r="E537">
        <v>67</v>
      </c>
    </row>
    <row r="538" spans="1:5" x14ac:dyDescent="0.45">
      <c r="A538" t="s">
        <v>9</v>
      </c>
      <c r="B538" t="s">
        <v>7</v>
      </c>
      <c r="C538">
        <v>37</v>
      </c>
      <c r="D538">
        <v>7.5933933258056641E-3</v>
      </c>
      <c r="E538">
        <v>75</v>
      </c>
    </row>
    <row r="539" spans="1:5" x14ac:dyDescent="0.45">
      <c r="A539" t="s">
        <v>9</v>
      </c>
      <c r="B539" t="s">
        <v>7</v>
      </c>
      <c r="C539">
        <v>38</v>
      </c>
      <c r="D539">
        <v>4.0357112884521476E-3</v>
      </c>
      <c r="E539">
        <v>50</v>
      </c>
    </row>
    <row r="540" spans="1:5" x14ac:dyDescent="0.45">
      <c r="A540" t="s">
        <v>9</v>
      </c>
      <c r="B540" t="s">
        <v>7</v>
      </c>
      <c r="C540">
        <v>39</v>
      </c>
      <c r="D540">
        <v>7.2853565216064453E-3</v>
      </c>
      <c r="E540">
        <v>96</v>
      </c>
    </row>
    <row r="541" spans="1:5" x14ac:dyDescent="0.45">
      <c r="A541" t="s">
        <v>9</v>
      </c>
      <c r="B541" t="s">
        <v>7</v>
      </c>
      <c r="C541">
        <v>40</v>
      </c>
      <c r="D541">
        <v>9.9503993988037109E-3</v>
      </c>
      <c r="E541">
        <v>109</v>
      </c>
    </row>
    <row r="542" spans="1:5" x14ac:dyDescent="0.45">
      <c r="A542" t="s">
        <v>9</v>
      </c>
      <c r="B542" t="s">
        <v>7</v>
      </c>
      <c r="C542">
        <v>41</v>
      </c>
      <c r="D542">
        <v>1.1679887771606451E-2</v>
      </c>
      <c r="E542">
        <v>118</v>
      </c>
    </row>
    <row r="543" spans="1:5" x14ac:dyDescent="0.45">
      <c r="A543" t="s">
        <v>9</v>
      </c>
      <c r="B543" t="s">
        <v>7</v>
      </c>
      <c r="C543">
        <v>42</v>
      </c>
      <c r="D543">
        <v>1.0416269302368161E-2</v>
      </c>
      <c r="E543">
        <v>120</v>
      </c>
    </row>
    <row r="544" spans="1:5" x14ac:dyDescent="0.45">
      <c r="A544" t="s">
        <v>9</v>
      </c>
      <c r="B544" t="s">
        <v>7</v>
      </c>
      <c r="C544">
        <v>43</v>
      </c>
      <c r="D544">
        <v>6.6647529602050781E-3</v>
      </c>
      <c r="E544">
        <v>70</v>
      </c>
    </row>
    <row r="545" spans="1:5" x14ac:dyDescent="0.45">
      <c r="A545" t="s">
        <v>9</v>
      </c>
      <c r="B545" t="s">
        <v>7</v>
      </c>
      <c r="C545">
        <v>44</v>
      </c>
      <c r="D545">
        <v>8.9786052703857422E-3</v>
      </c>
      <c r="E545">
        <v>90</v>
      </c>
    </row>
    <row r="546" spans="1:5" x14ac:dyDescent="0.45">
      <c r="A546" t="s">
        <v>9</v>
      </c>
      <c r="B546" t="s">
        <v>7</v>
      </c>
      <c r="C546">
        <v>45</v>
      </c>
      <c r="D546">
        <v>1.5740871429443359E-2</v>
      </c>
      <c r="E546">
        <v>142</v>
      </c>
    </row>
    <row r="547" spans="1:5" x14ac:dyDescent="0.45">
      <c r="A547" t="s">
        <v>9</v>
      </c>
      <c r="B547" t="s">
        <v>7</v>
      </c>
      <c r="C547">
        <v>46</v>
      </c>
      <c r="D547">
        <v>2.2303581237792969E-2</v>
      </c>
      <c r="E547">
        <v>221</v>
      </c>
    </row>
    <row r="548" spans="1:5" x14ac:dyDescent="0.45">
      <c r="A548" t="s">
        <v>9</v>
      </c>
      <c r="B548" t="s">
        <v>7</v>
      </c>
      <c r="C548">
        <v>47</v>
      </c>
      <c r="D548">
        <v>8.8601112365722656E-3</v>
      </c>
      <c r="E548">
        <v>94</v>
      </c>
    </row>
    <row r="549" spans="1:5" x14ac:dyDescent="0.45">
      <c r="A549" t="s">
        <v>9</v>
      </c>
      <c r="B549" t="s">
        <v>7</v>
      </c>
      <c r="C549">
        <v>48</v>
      </c>
      <c r="D549">
        <v>3.982996940612793E-2</v>
      </c>
      <c r="E549">
        <v>437</v>
      </c>
    </row>
    <row r="550" spans="1:5" x14ac:dyDescent="0.45">
      <c r="A550" t="s">
        <v>9</v>
      </c>
      <c r="B550" t="s">
        <v>7</v>
      </c>
      <c r="C550">
        <v>49</v>
      </c>
      <c r="D550">
        <v>8.4664821624755859E-3</v>
      </c>
      <c r="E550">
        <v>101</v>
      </c>
    </row>
    <row r="551" spans="1:5" x14ac:dyDescent="0.45">
      <c r="A551" t="s">
        <v>9</v>
      </c>
      <c r="B551" t="s">
        <v>7</v>
      </c>
      <c r="C551">
        <v>50</v>
      </c>
      <c r="D551">
        <v>7.5743198394775391E-3</v>
      </c>
      <c r="E551">
        <v>86</v>
      </c>
    </row>
    <row r="552" spans="1:5" x14ac:dyDescent="0.45">
      <c r="A552" t="s">
        <v>9</v>
      </c>
      <c r="B552" t="s">
        <v>7</v>
      </c>
      <c r="C552">
        <v>51</v>
      </c>
      <c r="D552">
        <v>1.095867156982422E-2</v>
      </c>
      <c r="E552">
        <v>116</v>
      </c>
    </row>
    <row r="553" spans="1:5" x14ac:dyDescent="0.45">
      <c r="A553" t="s">
        <v>9</v>
      </c>
      <c r="B553" t="s">
        <v>7</v>
      </c>
      <c r="C553">
        <v>52</v>
      </c>
      <c r="D553">
        <v>7.0028305053710938E-3</v>
      </c>
      <c r="E553">
        <v>75</v>
      </c>
    </row>
    <row r="554" spans="1:5" x14ac:dyDescent="0.45">
      <c r="A554" t="s">
        <v>9</v>
      </c>
      <c r="B554" t="s">
        <v>7</v>
      </c>
      <c r="C554">
        <v>53</v>
      </c>
      <c r="D554">
        <v>1.311016082763672E-2</v>
      </c>
      <c r="E554">
        <v>126</v>
      </c>
    </row>
    <row r="555" spans="1:5" x14ac:dyDescent="0.45">
      <c r="A555" t="s">
        <v>9</v>
      </c>
      <c r="B555" t="s">
        <v>7</v>
      </c>
      <c r="C555">
        <v>54</v>
      </c>
      <c r="D555">
        <v>6.6535472869873047E-3</v>
      </c>
      <c r="E555">
        <v>78</v>
      </c>
    </row>
    <row r="556" spans="1:5" x14ac:dyDescent="0.45">
      <c r="A556" t="s">
        <v>9</v>
      </c>
      <c r="B556" t="s">
        <v>7</v>
      </c>
      <c r="C556">
        <v>55</v>
      </c>
      <c r="D556">
        <v>5.9063434600830078E-3</v>
      </c>
      <c r="E556">
        <v>64</v>
      </c>
    </row>
    <row r="557" spans="1:5" x14ac:dyDescent="0.45">
      <c r="A557" t="s">
        <v>9</v>
      </c>
      <c r="B557" t="s">
        <v>7</v>
      </c>
      <c r="C557">
        <v>56</v>
      </c>
      <c r="D557">
        <v>4.6865940093994141E-3</v>
      </c>
      <c r="E557">
        <v>65</v>
      </c>
    </row>
    <row r="558" spans="1:5" x14ac:dyDescent="0.45">
      <c r="A558" t="s">
        <v>9</v>
      </c>
      <c r="B558" t="s">
        <v>7</v>
      </c>
      <c r="C558">
        <v>57</v>
      </c>
      <c r="D558">
        <v>1.08489990234375E-2</v>
      </c>
      <c r="E558">
        <v>110</v>
      </c>
    </row>
    <row r="559" spans="1:5" x14ac:dyDescent="0.45">
      <c r="A559" t="s">
        <v>9</v>
      </c>
      <c r="B559" t="s">
        <v>7</v>
      </c>
      <c r="C559">
        <v>58</v>
      </c>
      <c r="D559">
        <v>7.85064697265625E-3</v>
      </c>
      <c r="E559">
        <v>77</v>
      </c>
    </row>
    <row r="560" spans="1:5" x14ac:dyDescent="0.45">
      <c r="A560" t="s">
        <v>9</v>
      </c>
      <c r="B560" t="s">
        <v>7</v>
      </c>
      <c r="C560">
        <v>59</v>
      </c>
      <c r="D560">
        <v>9.5813274383544922E-3</v>
      </c>
      <c r="E560">
        <v>117</v>
      </c>
    </row>
    <row r="561" spans="1:5" x14ac:dyDescent="0.45">
      <c r="A561" t="s">
        <v>9</v>
      </c>
      <c r="B561" t="s">
        <v>7</v>
      </c>
      <c r="C561">
        <v>60</v>
      </c>
      <c r="D561">
        <v>1.225185394287109E-2</v>
      </c>
      <c r="E561">
        <v>114</v>
      </c>
    </row>
    <row r="562" spans="1:5" x14ac:dyDescent="0.45">
      <c r="A562" t="s">
        <v>9</v>
      </c>
      <c r="B562" t="s">
        <v>7</v>
      </c>
      <c r="C562">
        <v>61</v>
      </c>
      <c r="D562">
        <v>6.84356689453125E-3</v>
      </c>
      <c r="E562">
        <v>77</v>
      </c>
    </row>
    <row r="563" spans="1:5" x14ac:dyDescent="0.45">
      <c r="A563" t="s">
        <v>9</v>
      </c>
      <c r="B563" t="s">
        <v>7</v>
      </c>
      <c r="C563">
        <v>62</v>
      </c>
      <c r="D563">
        <v>8.7311267852783203E-3</v>
      </c>
      <c r="E563">
        <v>90</v>
      </c>
    </row>
    <row r="564" spans="1:5" x14ac:dyDescent="0.45">
      <c r="A564" t="s">
        <v>9</v>
      </c>
      <c r="B564" t="s">
        <v>7</v>
      </c>
      <c r="C564">
        <v>63</v>
      </c>
      <c r="D564">
        <v>5.8562755584716797E-3</v>
      </c>
      <c r="E564">
        <v>79</v>
      </c>
    </row>
    <row r="565" spans="1:5" x14ac:dyDescent="0.45">
      <c r="A565" t="s">
        <v>9</v>
      </c>
      <c r="B565" t="s">
        <v>7</v>
      </c>
      <c r="C565">
        <v>64</v>
      </c>
      <c r="D565">
        <v>5.0652027130126953E-3</v>
      </c>
      <c r="E565">
        <v>72</v>
      </c>
    </row>
    <row r="566" spans="1:5" x14ac:dyDescent="0.45">
      <c r="A566" t="s">
        <v>9</v>
      </c>
      <c r="B566" t="s">
        <v>7</v>
      </c>
      <c r="C566">
        <v>65</v>
      </c>
      <c r="D566">
        <v>1.5670537948608398E-2</v>
      </c>
      <c r="E566">
        <v>139</v>
      </c>
    </row>
    <row r="567" spans="1:5" x14ac:dyDescent="0.45">
      <c r="A567" t="s">
        <v>9</v>
      </c>
      <c r="B567" t="s">
        <v>7</v>
      </c>
      <c r="C567">
        <v>66</v>
      </c>
      <c r="D567">
        <v>6.2706470489501953E-3</v>
      </c>
      <c r="E567">
        <v>66</v>
      </c>
    </row>
    <row r="568" spans="1:5" x14ac:dyDescent="0.45">
      <c r="A568" t="s">
        <v>9</v>
      </c>
      <c r="B568" t="s">
        <v>7</v>
      </c>
      <c r="C568">
        <v>67</v>
      </c>
      <c r="D568">
        <v>8.4256172180175781E-2</v>
      </c>
      <c r="E568">
        <v>1072</v>
      </c>
    </row>
    <row r="569" spans="1:5" x14ac:dyDescent="0.45">
      <c r="A569" t="s">
        <v>9</v>
      </c>
      <c r="B569" t="s">
        <v>7</v>
      </c>
      <c r="C569">
        <v>68</v>
      </c>
      <c r="D569">
        <v>1.9956111907958981E-2</v>
      </c>
      <c r="E569">
        <v>171</v>
      </c>
    </row>
    <row r="570" spans="1:5" x14ac:dyDescent="0.45">
      <c r="A570" t="s">
        <v>9</v>
      </c>
      <c r="B570" t="s">
        <v>7</v>
      </c>
      <c r="C570">
        <v>69</v>
      </c>
      <c r="D570">
        <v>7.8256130218505859E-3</v>
      </c>
      <c r="E570">
        <v>84</v>
      </c>
    </row>
    <row r="571" spans="1:5" x14ac:dyDescent="0.45">
      <c r="A571" t="s">
        <v>9</v>
      </c>
      <c r="B571" t="s">
        <v>7</v>
      </c>
      <c r="C571">
        <v>70</v>
      </c>
      <c r="D571">
        <v>7.4443817138671884E-3</v>
      </c>
      <c r="E571">
        <v>76</v>
      </c>
    </row>
    <row r="572" spans="1:5" x14ac:dyDescent="0.45">
      <c r="A572" t="s">
        <v>9</v>
      </c>
      <c r="B572" t="s">
        <v>7</v>
      </c>
      <c r="C572">
        <v>71</v>
      </c>
      <c r="D572">
        <v>6.6936016082763672E-3</v>
      </c>
      <c r="E572">
        <v>78</v>
      </c>
    </row>
    <row r="573" spans="1:5" x14ac:dyDescent="0.45">
      <c r="A573" t="s">
        <v>9</v>
      </c>
      <c r="B573" t="s">
        <v>7</v>
      </c>
      <c r="C573">
        <v>72</v>
      </c>
      <c r="D573">
        <v>8.9926719665527344E-3</v>
      </c>
      <c r="E573">
        <v>99</v>
      </c>
    </row>
    <row r="574" spans="1:5" x14ac:dyDescent="0.45">
      <c r="A574" t="s">
        <v>9</v>
      </c>
      <c r="B574" t="s">
        <v>7</v>
      </c>
      <c r="C574">
        <v>73</v>
      </c>
      <c r="D574">
        <v>2.0168304443359378E-2</v>
      </c>
      <c r="E574">
        <v>162</v>
      </c>
    </row>
    <row r="575" spans="1:5" x14ac:dyDescent="0.45">
      <c r="A575" t="s">
        <v>9</v>
      </c>
      <c r="B575" t="s">
        <v>7</v>
      </c>
      <c r="C575">
        <v>74</v>
      </c>
      <c r="D575">
        <v>1.097822189331055E-2</v>
      </c>
      <c r="E575">
        <v>105</v>
      </c>
    </row>
    <row r="576" spans="1:5" x14ac:dyDescent="0.45">
      <c r="A576" t="s">
        <v>9</v>
      </c>
      <c r="B576" t="s">
        <v>7</v>
      </c>
      <c r="C576">
        <v>75</v>
      </c>
      <c r="D576">
        <v>2.3866653442382809E-2</v>
      </c>
      <c r="E576">
        <v>222</v>
      </c>
    </row>
    <row r="577" spans="1:5" x14ac:dyDescent="0.45">
      <c r="A577" t="s">
        <v>9</v>
      </c>
      <c r="B577" t="s">
        <v>7</v>
      </c>
      <c r="C577">
        <v>76</v>
      </c>
      <c r="D577">
        <v>1.5901327133178711E-2</v>
      </c>
      <c r="E577">
        <v>136</v>
      </c>
    </row>
    <row r="578" spans="1:5" x14ac:dyDescent="0.45">
      <c r="A578" t="s">
        <v>9</v>
      </c>
      <c r="B578" t="s">
        <v>7</v>
      </c>
      <c r="C578">
        <v>77</v>
      </c>
      <c r="D578">
        <v>1.1915206909179689E-2</v>
      </c>
      <c r="E578">
        <v>137</v>
      </c>
    </row>
    <row r="579" spans="1:5" x14ac:dyDescent="0.45">
      <c r="A579" t="s">
        <v>9</v>
      </c>
      <c r="B579" t="s">
        <v>7</v>
      </c>
      <c r="C579">
        <v>78</v>
      </c>
      <c r="D579">
        <v>1.1118173599243161E-2</v>
      </c>
      <c r="E579">
        <v>124</v>
      </c>
    </row>
    <row r="580" spans="1:5" x14ac:dyDescent="0.45">
      <c r="A580" t="s">
        <v>9</v>
      </c>
      <c r="B580" t="s">
        <v>7</v>
      </c>
      <c r="C580">
        <v>79</v>
      </c>
      <c r="D580">
        <v>8.0938339233398438E-3</v>
      </c>
      <c r="E580">
        <v>91</v>
      </c>
    </row>
    <row r="581" spans="1:5" x14ac:dyDescent="0.45">
      <c r="A581" t="s">
        <v>9</v>
      </c>
      <c r="B581" t="s">
        <v>7</v>
      </c>
      <c r="C581">
        <v>80</v>
      </c>
      <c r="D581">
        <v>1.1208295822143549E-2</v>
      </c>
      <c r="E581">
        <v>101</v>
      </c>
    </row>
    <row r="582" spans="1:5" x14ac:dyDescent="0.45">
      <c r="A582" t="s">
        <v>9</v>
      </c>
      <c r="B582" t="s">
        <v>7</v>
      </c>
      <c r="C582">
        <v>81</v>
      </c>
      <c r="D582">
        <v>7.8868865966796875E-3</v>
      </c>
      <c r="E582">
        <v>81</v>
      </c>
    </row>
    <row r="583" spans="1:5" x14ac:dyDescent="0.45">
      <c r="A583" t="s">
        <v>9</v>
      </c>
      <c r="B583" t="s">
        <v>7</v>
      </c>
      <c r="C583">
        <v>82</v>
      </c>
      <c r="D583">
        <v>9.1204643249511719E-3</v>
      </c>
      <c r="E583">
        <v>87</v>
      </c>
    </row>
    <row r="584" spans="1:5" x14ac:dyDescent="0.45">
      <c r="A584" t="s">
        <v>9</v>
      </c>
      <c r="B584" t="s">
        <v>7</v>
      </c>
      <c r="C584">
        <v>83</v>
      </c>
      <c r="D584">
        <v>1.17032527923584E-2</v>
      </c>
      <c r="E584">
        <v>117</v>
      </c>
    </row>
    <row r="585" spans="1:5" x14ac:dyDescent="0.45">
      <c r="A585" t="s">
        <v>9</v>
      </c>
      <c r="B585" t="s">
        <v>7</v>
      </c>
      <c r="C585">
        <v>84</v>
      </c>
      <c r="D585">
        <v>4.2519569396972656E-3</v>
      </c>
      <c r="E585">
        <v>51</v>
      </c>
    </row>
    <row r="586" spans="1:5" x14ac:dyDescent="0.45">
      <c r="A586" t="s">
        <v>9</v>
      </c>
      <c r="B586" t="s">
        <v>7</v>
      </c>
      <c r="C586">
        <v>85</v>
      </c>
      <c r="D586">
        <v>6.3676834106445313E-3</v>
      </c>
      <c r="E586">
        <v>73</v>
      </c>
    </row>
    <row r="587" spans="1:5" x14ac:dyDescent="0.45">
      <c r="A587" t="s">
        <v>9</v>
      </c>
      <c r="B587" t="s">
        <v>7</v>
      </c>
      <c r="C587">
        <v>86</v>
      </c>
      <c r="D587">
        <v>1.820826530456543E-2</v>
      </c>
      <c r="E587">
        <v>153</v>
      </c>
    </row>
    <row r="588" spans="1:5" x14ac:dyDescent="0.45">
      <c r="A588" t="s">
        <v>9</v>
      </c>
      <c r="B588" t="s">
        <v>7</v>
      </c>
      <c r="C588">
        <v>87</v>
      </c>
      <c r="D588">
        <v>1.455235481262207E-2</v>
      </c>
      <c r="E588">
        <v>136</v>
      </c>
    </row>
    <row r="589" spans="1:5" x14ac:dyDescent="0.45">
      <c r="A589" t="s">
        <v>9</v>
      </c>
      <c r="B589" t="s">
        <v>7</v>
      </c>
      <c r="C589">
        <v>88</v>
      </c>
      <c r="D589">
        <v>9.723663330078125E-3</v>
      </c>
      <c r="E589">
        <v>96</v>
      </c>
    </row>
    <row r="590" spans="1:5" x14ac:dyDescent="0.45">
      <c r="A590" t="s">
        <v>9</v>
      </c>
      <c r="B590" t="s">
        <v>7</v>
      </c>
      <c r="C590">
        <v>89</v>
      </c>
      <c r="D590">
        <v>1.177167892456055E-2</v>
      </c>
      <c r="E590">
        <v>131</v>
      </c>
    </row>
    <row r="591" spans="1:5" x14ac:dyDescent="0.45">
      <c r="A591" t="s">
        <v>9</v>
      </c>
      <c r="B591" t="s">
        <v>7</v>
      </c>
      <c r="C591">
        <v>90</v>
      </c>
      <c r="D591">
        <v>1.353836059570312E-2</v>
      </c>
      <c r="E591">
        <v>135</v>
      </c>
    </row>
    <row r="592" spans="1:5" x14ac:dyDescent="0.45">
      <c r="A592" t="s">
        <v>9</v>
      </c>
      <c r="B592" t="s">
        <v>7</v>
      </c>
      <c r="C592">
        <v>91</v>
      </c>
      <c r="D592">
        <v>4.8689842224121094E-3</v>
      </c>
      <c r="E592">
        <v>62</v>
      </c>
    </row>
    <row r="593" spans="1:5" x14ac:dyDescent="0.45">
      <c r="A593" t="s">
        <v>9</v>
      </c>
      <c r="B593" t="s">
        <v>7</v>
      </c>
      <c r="C593">
        <v>92</v>
      </c>
      <c r="D593">
        <v>1.1145114898681641E-2</v>
      </c>
      <c r="E593">
        <v>113</v>
      </c>
    </row>
    <row r="594" spans="1:5" x14ac:dyDescent="0.45">
      <c r="A594" t="s">
        <v>9</v>
      </c>
      <c r="B594" t="s">
        <v>7</v>
      </c>
      <c r="C594">
        <v>93</v>
      </c>
      <c r="D594">
        <v>4.2156219482421882E-2</v>
      </c>
      <c r="E594">
        <v>331</v>
      </c>
    </row>
    <row r="595" spans="1:5" x14ac:dyDescent="0.45">
      <c r="A595" t="s">
        <v>9</v>
      </c>
      <c r="B595" t="s">
        <v>7</v>
      </c>
      <c r="C595">
        <v>94</v>
      </c>
      <c r="D595">
        <v>4.4292926788330078E-2</v>
      </c>
      <c r="E595">
        <v>318</v>
      </c>
    </row>
    <row r="596" spans="1:5" x14ac:dyDescent="0.45">
      <c r="A596" t="s">
        <v>9</v>
      </c>
      <c r="B596" t="s">
        <v>7</v>
      </c>
      <c r="C596">
        <v>95</v>
      </c>
      <c r="D596">
        <v>1.3655900955200201E-2</v>
      </c>
      <c r="E596">
        <v>137</v>
      </c>
    </row>
    <row r="597" spans="1:5" x14ac:dyDescent="0.45">
      <c r="A597" t="s">
        <v>9</v>
      </c>
      <c r="B597" t="s">
        <v>7</v>
      </c>
      <c r="C597">
        <v>96</v>
      </c>
      <c r="D597">
        <v>8.6143016815185547E-3</v>
      </c>
      <c r="E597">
        <v>96</v>
      </c>
    </row>
    <row r="598" spans="1:5" x14ac:dyDescent="0.45">
      <c r="A598" t="s">
        <v>9</v>
      </c>
      <c r="B598" t="s">
        <v>7</v>
      </c>
      <c r="C598">
        <v>97</v>
      </c>
      <c r="D598">
        <v>7.9813003540039063E-3</v>
      </c>
      <c r="E598">
        <v>80</v>
      </c>
    </row>
    <row r="599" spans="1:5" x14ac:dyDescent="0.45">
      <c r="A599" t="s">
        <v>9</v>
      </c>
      <c r="B599" t="s">
        <v>7</v>
      </c>
      <c r="C599">
        <v>98</v>
      </c>
      <c r="D599">
        <v>1.27406120300293E-2</v>
      </c>
      <c r="E599">
        <v>105</v>
      </c>
    </row>
    <row r="600" spans="1:5" x14ac:dyDescent="0.45">
      <c r="A600" t="s">
        <v>9</v>
      </c>
      <c r="B600" t="s">
        <v>7</v>
      </c>
      <c r="C600">
        <v>99</v>
      </c>
      <c r="D600">
        <v>1.9665718078613281E-2</v>
      </c>
      <c r="E600">
        <v>205</v>
      </c>
    </row>
    <row r="601" spans="1:5" x14ac:dyDescent="0.45">
      <c r="A601" t="s">
        <v>9</v>
      </c>
      <c r="B601" t="s">
        <v>7</v>
      </c>
      <c r="C601">
        <v>100</v>
      </c>
      <c r="D601">
        <v>1.058077812194824E-2</v>
      </c>
      <c r="E601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5">
      <c r="A2" t="s">
        <v>5</v>
      </c>
      <c r="B2" t="s">
        <v>6</v>
      </c>
      <c r="C2">
        <v>2.237057685852051E-4</v>
      </c>
      <c r="D2">
        <v>172.86</v>
      </c>
      <c r="E2">
        <v>2.2370576858520511E-2</v>
      </c>
      <c r="F2">
        <v>17286</v>
      </c>
    </row>
    <row r="3" spans="1:6" x14ac:dyDescent="0.45">
      <c r="A3" t="s">
        <v>5</v>
      </c>
      <c r="B3" t="s">
        <v>7</v>
      </c>
      <c r="C3">
        <v>1.4862370491027831E-3</v>
      </c>
      <c r="D3">
        <v>27.59</v>
      </c>
      <c r="E3">
        <v>0.14862370491027829</v>
      </c>
      <c r="F3">
        <v>2759</v>
      </c>
    </row>
    <row r="4" spans="1:6" x14ac:dyDescent="0.45">
      <c r="A4" t="s">
        <v>8</v>
      </c>
      <c r="B4" t="s">
        <v>6</v>
      </c>
      <c r="C4">
        <v>1.7642140388488771E-3</v>
      </c>
      <c r="D4">
        <v>1415.91</v>
      </c>
      <c r="E4">
        <v>0.1764214038848877</v>
      </c>
      <c r="F4">
        <v>141591</v>
      </c>
    </row>
    <row r="5" spans="1:6" x14ac:dyDescent="0.45">
      <c r="A5" t="s">
        <v>8</v>
      </c>
      <c r="B5" t="s">
        <v>7</v>
      </c>
      <c r="C5">
        <v>3.374035358428955E-3</v>
      </c>
      <c r="D5">
        <v>47.23</v>
      </c>
      <c r="E5">
        <v>0.33740353584289551</v>
      </c>
      <c r="F5">
        <v>4723</v>
      </c>
    </row>
    <row r="6" spans="1:6" x14ac:dyDescent="0.45">
      <c r="A6" t="s">
        <v>9</v>
      </c>
      <c r="B6" t="s">
        <v>6</v>
      </c>
      <c r="C6">
        <v>7.7315111160278324E-2</v>
      </c>
      <c r="D6">
        <v>63741.25</v>
      </c>
      <c r="E6">
        <v>7.731511116027832</v>
      </c>
      <c r="F6">
        <v>6374125</v>
      </c>
    </row>
    <row r="7" spans="1:6" x14ac:dyDescent="0.45">
      <c r="A7" t="s">
        <v>9</v>
      </c>
      <c r="B7" t="s">
        <v>7</v>
      </c>
      <c r="C7">
        <v>1.441030502319336E-2</v>
      </c>
      <c r="D7">
        <v>146.19999999999999</v>
      </c>
      <c r="E7">
        <v>1.4410305023193359</v>
      </c>
      <c r="F7">
        <v>14620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6B1D-9219-4EA4-8561-4B8BB1283746}">
  <dimension ref="A1:H5"/>
  <sheetViews>
    <sheetView tabSelected="1" zoomScale="70" zoomScaleNormal="70" workbookViewId="0">
      <selection sqref="A1:C4"/>
    </sheetView>
  </sheetViews>
  <sheetFormatPr baseColWidth="10" defaultRowHeight="14.25" x14ac:dyDescent="0.45"/>
  <cols>
    <col min="1" max="1" width="13.53125" bestFit="1" customWidth="1"/>
    <col min="2" max="3" width="16.6640625" bestFit="1" customWidth="1"/>
    <col min="4" max="4" width="15.59765625" customWidth="1"/>
    <col min="5" max="5" width="18.9296875" customWidth="1"/>
  </cols>
  <sheetData>
    <row r="1" spans="1:8" ht="57" x14ac:dyDescent="0.45">
      <c r="A1" s="4" t="s">
        <v>0</v>
      </c>
      <c r="B1" s="4" t="s">
        <v>23</v>
      </c>
      <c r="C1" s="4" t="s">
        <v>22</v>
      </c>
      <c r="D1" s="4" t="s">
        <v>25</v>
      </c>
      <c r="E1" s="4" t="s">
        <v>26</v>
      </c>
    </row>
    <row r="2" spans="1:8" x14ac:dyDescent="0.45">
      <c r="A2" s="5" t="s">
        <v>5</v>
      </c>
      <c r="B2" s="6">
        <f>AVERAGEIFS('Resultados Detallados'!D:D,'Resultados Detallados'!A:A,"easy",'Resultados Detallados'!B:B,"backtracking")</f>
        <v>2.2370576858520507E-4</v>
      </c>
      <c r="C2" s="6">
        <f>AVERAGEIFS('Resultados Detallados'!D:D,'Resultados Detallados'!A:A,"easy",'Resultados Detallados'!B:B,"branch_and_bound")</f>
        <v>1.4862370491027831E-3</v>
      </c>
      <c r="D2" s="6">
        <f>AVERAGEIFS('Resultados Detallados'!E:E,'Resultados Detallados'!A:A,"easy",'Resultados Detallados'!B:B,"backtracking")</f>
        <v>172.86</v>
      </c>
      <c r="E2" s="6">
        <f>AVERAGEIFS('Resultados Detallados'!E:E,'Resultados Detallados'!A:A,"easy",'Resultados Detallados'!B:B,"branch_and_bound")</f>
        <v>27.59</v>
      </c>
      <c r="G2" t="s">
        <v>24</v>
      </c>
    </row>
    <row r="3" spans="1:8" x14ac:dyDescent="0.45">
      <c r="A3" s="5" t="s">
        <v>8</v>
      </c>
      <c r="B3" s="6">
        <f>AVERAGEIFS('Resultados Detallados'!D:D,'Resultados Detallados'!A:A,"medium",'Resultados Detallados'!B:B,"backtracking")</f>
        <v>1.7642140388488769E-3</v>
      </c>
      <c r="C3" s="6">
        <f>AVERAGEIFS('Resultados Detallados'!D:D,'Resultados Detallados'!A:A,"medium",'Resultados Detallados'!B:B,"branch_and_bound")</f>
        <v>3.374035358428955E-3</v>
      </c>
      <c r="D3" s="6">
        <f>AVERAGEIFS('Resultados Detallados'!E:E,'Resultados Detallados'!A:A,"medium",'Resultados Detallados'!B:B,"backtracking")</f>
        <v>1415.91</v>
      </c>
      <c r="E3" s="6">
        <f>AVERAGEIFS('Resultados Detallados'!E:E,'Resultados Detallados'!A:A,"medium",'Resultados Detallados'!B:B,"branch_and_bound")</f>
        <v>47.23</v>
      </c>
      <c r="G3" t="s">
        <v>5</v>
      </c>
      <c r="H3">
        <f>D2/E2</f>
        <v>6.2653135193910838</v>
      </c>
    </row>
    <row r="4" spans="1:8" x14ac:dyDescent="0.45">
      <c r="A4" s="5" t="s">
        <v>9</v>
      </c>
      <c r="B4" s="6">
        <f>AVERAGEIFS('Resultados Detallados'!D:D,'Resultados Detallados'!A:A,"hard",'Resultados Detallados'!B:B,"backtracking")</f>
        <v>7.7315111160278324E-2</v>
      </c>
      <c r="C4" s="6">
        <f>AVERAGEIFS('Resultados Detallados'!D:D,'Resultados Detallados'!A:A,"hard",'Resultados Detallados'!B:B,"branch_and_bound")</f>
        <v>1.4410305023193359E-2</v>
      </c>
      <c r="D4" s="6">
        <f>AVERAGEIFS('Resultados Detallados'!E:E,'Resultados Detallados'!A:A,"hard",'Resultados Detallados'!B:B,"backtracking")</f>
        <v>63741.25</v>
      </c>
      <c r="E4" s="6">
        <f>AVERAGEIFS('Resultados Detallados'!E:E,'Resultados Detallados'!A:A,"hard",'Resultados Detallados'!B:B,"branch_and_bound")</f>
        <v>146.19999999999999</v>
      </c>
      <c r="G4" t="s">
        <v>8</v>
      </c>
      <c r="H4">
        <f>D3/E3</f>
        <v>29.979038746559393</v>
      </c>
    </row>
    <row r="5" spans="1:8" x14ac:dyDescent="0.45">
      <c r="G5" t="s">
        <v>9</v>
      </c>
      <c r="H5">
        <f>D4/E4</f>
        <v>435.98666210670319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 Detallados</vt:lpstr>
      <vt:lpstr>Promedios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GARBINI SANTIAGO</cp:lastModifiedBy>
  <dcterms:created xsi:type="dcterms:W3CDTF">2025-11-02T19:14:09Z</dcterms:created>
  <dcterms:modified xsi:type="dcterms:W3CDTF">2025-11-02T19:44:28Z</dcterms:modified>
</cp:coreProperties>
</file>